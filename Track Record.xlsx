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TIGRAVITY APPs\Web ROV Workshop\"/>
    </mc:Choice>
  </mc:AlternateContent>
  <xr:revisionPtr revIDLastSave="0" documentId="8_{D2A89A1C-1485-4486-853F-9C212224382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lean Data" sheetId="1" r:id="rId1"/>
    <sheet name="Needs Review" sheetId="2" r:id="rId2"/>
    <sheet name="Cleaning Log" sheetId="3" r:id="rId3"/>
  </sheets>
  <definedNames>
    <definedName name="_xlnm._FilterDatabase" localSheetId="0" hidden="1">'Clean Data'!$A$1:$P$320</definedName>
    <definedName name="_xlnm._FilterDatabase" localSheetId="1" hidden="1">'Needs Review'!$A$1:$I$25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F11" i="2"/>
  <c r="F6" i="2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<sst xmlns="http://schemas.openxmlformats.org/spreadsheetml/2006/main" count="2944" uniqueCount="1403">
  <si>
    <t>NO.</t>
  </si>
  <si>
    <t>CLIENT</t>
  </si>
  <si>
    <t>CONTRACT</t>
  </si>
  <si>
    <t>PROJECT TASK</t>
  </si>
  <si>
    <t>START DATE</t>
  </si>
  <si>
    <t>END DATE</t>
  </si>
  <si>
    <t>DURATION (DAYS)</t>
  </si>
  <si>
    <t>CLIENT CONTACT PERSON</t>
  </si>
  <si>
    <t>CLIENT CONTACT PHONE</t>
  </si>
  <si>
    <t>PROJECT SOW</t>
  </si>
  <si>
    <t>LOCATION</t>
  </si>
  <si>
    <t>TOTAL PROJECT COST (USD)</t>
  </si>
  <si>
    <t>WATER DEPTH MIN (MSW)</t>
  </si>
  <si>
    <t>WATER DEPTH MAX (MSW)</t>
  </si>
  <si>
    <t>ROV SYSTEM</t>
  </si>
  <si>
    <t>VESSEL/ RIG</t>
  </si>
  <si>
    <t>MVOT</t>
  </si>
  <si>
    <t>MVOT/FSO-SER/139/2026</t>
  </si>
  <si>
    <t>UWILD, Renew survey &amp; Shipside valve replacement for FSO ORKID</t>
  </si>
  <si>
    <t>Đang thực hiện</t>
  </si>
  <si>
    <t>Mr. Mohd Azman Bin Sulaiman - General Manager of MVOT</t>
  </si>
  <si>
    <t>UWILD survey; Main tether chains replacement; Side shell replacement</t>
  </si>
  <si>
    <t>PM3-CAA, Orkid field</t>
  </si>
  <si>
    <t>ROV Quasar MKII-30 and Diving system</t>
  </si>
  <si>
    <t>Vessel PTSC Thai Binh</t>
  </si>
  <si>
    <t>PVGAS</t>
  </si>
  <si>
    <t>412/2026/DVK/TMHĐ-PTSC G&amp;S</t>
  </si>
  <si>
    <t>ROV Survey &amp; Free Span Correction</t>
  </si>
  <si>
    <t>Mr. Nguyen Tuan Cuong - Technical Manager</t>
  </si>
  <si>
    <t>ROV Survey submarine gas pipeline 18" PM3-Camau; Freespan correction for submarine gas pipeline 18" PM3-Camau; CP Gradient Survey</t>
  </si>
  <si>
    <t>18" PL PM3-Camau</t>
  </si>
  <si>
    <t>ROV Quasar MKII-30</t>
  </si>
  <si>
    <t>Seahorse Keystone</t>
  </si>
  <si>
    <t>PVCOLLEGE</t>
  </si>
  <si>
    <t>1216/PVCOLLEGE-PTSCG&amp;S/2026</t>
  </si>
  <si>
    <t>Underwater inspection &amp; Marine growth control services</t>
  </si>
  <si>
    <t>Mr. Nguyen Vu</t>
  </si>
  <si>
    <t>84 913 18 18 17</t>
  </si>
  <si>
    <t>Flowline and Umbilical survey; Jacket survey; Gas pipeline survey; CP Gradient Survey</t>
  </si>
  <si>
    <t>Block 01/97&amp;02/97</t>
  </si>
  <si>
    <t>PVEP-NCS</t>
  </si>
  <si>
    <t>PVEPNCS-OPE-2025-089</t>
  </si>
  <si>
    <t>Provision of Subsea Survey at Dai Hung field in 2026</t>
  </si>
  <si>
    <t>Mr. Le Cong Tuan Anh - Operation</t>
  </si>
  <si>
    <t>0344 710 592</t>
  </si>
  <si>
    <t>Wellheads survey; Flowline and Umbilical survey; Mid-depth buoy survey; Jacket WHP-DH02 survey; Gas pipeline survey</t>
  </si>
  <si>
    <t>Block 05.1a, Dai Hung field</t>
  </si>
  <si>
    <t>ROV Quasar Compact 07</t>
  </si>
  <si>
    <t>Binh Minh</t>
  </si>
  <si>
    <t>PVEPNCS-DRL-2025-023 &amp;MR1&amp;2</t>
  </si>
  <si>
    <t>Drilling support</t>
  </si>
  <si>
    <t>Mr. Pham Quoc Hung - Sr. Drilling Engineer</t>
  </si>
  <si>
    <t>090 7580583</t>
  </si>
  <si>
    <t>ROV support DH-18X P&amp;A operation</t>
  </si>
  <si>
    <t>Block 05-1(a)</t>
  </si>
  <si>
    <t>Sea Meadow 06</t>
  </si>
  <si>
    <t>POS</t>
  </si>
  <si>
    <t>MDV/POS/26/152</t>
  </si>
  <si>
    <t>Provision of ROV services for LDV Project</t>
  </si>
  <si>
    <t>Mr. Nguyen Van Tuyen - DPM</t>
  </si>
  <si>
    <t>0976 720 899</t>
  </si>
  <si>
    <t>ROV carry out post survey; ROV perform monitoring and support LDV FSO</t>
  </si>
  <si>
    <t>Block 15-1/05</t>
  </si>
  <si>
    <t>Vessel Binh Minh</t>
  </si>
  <si>
    <t>POVO (ENQUEST)</t>
  </si>
  <si>
    <t>CO25012546</t>
  </si>
  <si>
    <t>ROV Subsea Campaign 2026</t>
  </si>
  <si>
    <t>Mr. Tran Van Nguyen - Senior Facilities Engineer</t>
  </si>
  <si>
    <t>0985673003</t>
  </si>
  <si>
    <t>Lock open &amp; release to neutral X position Subsea valve; Pipelines survey; PLEMs, Flexible risers survey; UWILD FPSO Lewek Emas; CP Gradient Survey; FMD survey</t>
  </si>
  <si>
    <t>Block 12W, Chim Sao &amp; Dua field</t>
  </si>
  <si>
    <t>Vessel PTSC Tien Phong</t>
  </si>
  <si>
    <t>MDV/POS/26/152 &amp; MDV/POS/26/270</t>
  </si>
  <si>
    <t>PPS</t>
  </si>
  <si>
    <t>095-2026/PTSC-PPS/MDV</t>
  </si>
  <si>
    <t>Provision of Temporary Reinforcement for MWA Tether System FSO BD01</t>
  </si>
  <si>
    <t>Mr. Thinh Van Thin - Deputy Director</t>
  </si>
  <si>
    <t>0908 111 284</t>
  </si>
  <si>
    <t>Block 05.2 &amp; 05.3</t>
  </si>
  <si>
    <t>IDEMITSU</t>
  </si>
  <si>
    <t>VN-05_1DEV-HCM-B-PD-586</t>
  </si>
  <si>
    <t>Provision of ROV Services in 2026</t>
  </si>
  <si>
    <t>Ms. Nguyen Thi Do Van - Asset Integrity Manager</t>
  </si>
  <si>
    <t>+84 901 815460</t>
  </si>
  <si>
    <t>Jackets survey; Flexible pipeline and cabe survey; CP Gradient survey; FMD survey</t>
  </si>
  <si>
    <t>Block 05-1b &amp; 05-1c, SV-DN field</t>
  </si>
  <si>
    <t>LHD</t>
  </si>
  <si>
    <t>05-2026/HĐTM/PTSC GS-LHD</t>
  </si>
  <si>
    <t>UWILD FPSO TBVN</t>
  </si>
  <si>
    <t>Mr. Le Xuan Tuyen - Commercial Manager</t>
  </si>
  <si>
    <t>0986 720 832</t>
  </si>
  <si>
    <t>Hull survey; Mooring chains survey; Risers and accessories survey</t>
  </si>
  <si>
    <t>Block 15-1</t>
  </si>
  <si>
    <t>Vessel Sea Meadow 29</t>
  </si>
  <si>
    <t>ROV perform monitoring and support LDV pipelines installation; ROV perform monitoring and support LDV FSO; ROV carry out post survey</t>
  </si>
  <si>
    <t>Barge PTSC Guardian</t>
  </si>
  <si>
    <t>035-2026/PTSC-KT/MDV</t>
  </si>
  <si>
    <t>UWILD FSO BD01 &amp; FSO PPS01</t>
  </si>
  <si>
    <t>Block 05.2 &amp; 05.3 and 11-2</t>
  </si>
  <si>
    <t>PTSC Thai Binh</t>
  </si>
  <si>
    <t>INDEPTH</t>
  </si>
  <si>
    <t>Addendum No.08 of 029-2023/PTSC-GS/ROV/BDV</t>
  </si>
  <si>
    <t>Provision of ROV services</t>
  </si>
  <si>
    <t>Mr. Karim Kaafarani</t>
  </si>
  <si>
    <t>+971 5818 05963</t>
  </si>
  <si>
    <t>DSV Support and associated Tasks</t>
  </si>
  <si>
    <t>KSA</t>
  </si>
  <si>
    <t>ROV Panther Plus 911</t>
  </si>
  <si>
    <t>Vessel Bourbon Enterprise</t>
  </si>
  <si>
    <t>UAE &amp; KSA</t>
  </si>
  <si>
    <t>ROV Panther Plus 954</t>
  </si>
  <si>
    <t>Vessel Shujaa 2000</t>
  </si>
  <si>
    <t>BIEN DONG POC</t>
  </si>
  <si>
    <t>BD-OPS-2025-068</t>
  </si>
  <si>
    <t>Provision of free span correction</t>
  </si>
  <si>
    <t>Mr. Nguyen Thanh Tam - Senior Subsea Engineer</t>
  </si>
  <si>
    <t>0933541279</t>
  </si>
  <si>
    <t>Free span correction for submarine pipelines</t>
  </si>
  <si>
    <t>Vessel PTSC Hai An</t>
  </si>
  <si>
    <t>Provision of ROV Services for flexible pipeline survey</t>
  </si>
  <si>
    <t>ROV survey flexible pipeline; CP Gradient survey</t>
  </si>
  <si>
    <t>Vessel Sea Meadow 19</t>
  </si>
  <si>
    <t>TOS</t>
  </si>
  <si>
    <t>025-2025/PTSC-GS/ROV/BDV</t>
  </si>
  <si>
    <t>Provision of ROV Services for Tie-in project</t>
  </si>
  <si>
    <t>Mr. Nguyen Duc Hieu - ROV Manager</t>
  </si>
  <si>
    <t>0988 276 925</t>
  </si>
  <si>
    <t>ROV support or Tie-in project in LDV field; Support SCM change out in Chim Sao field</t>
  </si>
  <si>
    <t>Block 15-1/05, Block 12W</t>
  </si>
  <si>
    <t>Provision of ROV Services to operate Subsea swing check valve</t>
  </si>
  <si>
    <t>ROV operates Subsea check valve and ball valves</t>
  </si>
  <si>
    <t>Vessel Hai Duong 89</t>
  </si>
  <si>
    <t>023-2025/PTSC-GS/ROV/BDV</t>
  </si>
  <si>
    <t>Provision of CP Gradient &amp; FMD services</t>
  </si>
  <si>
    <t>FMD survey for jacket; CP Gradient survey</t>
  </si>
  <si>
    <t>Block 11.2</t>
  </si>
  <si>
    <t>CLJOC</t>
  </si>
  <si>
    <t>CLJOC-2025-DEV-2414</t>
  </si>
  <si>
    <t>ROV Subsea Survey in Block 15.1</t>
  </si>
  <si>
    <t>Mr. Tran Le Bang - Lead Asset Integrity Engineer</t>
  </si>
  <si>
    <t>093 4315883</t>
  </si>
  <si>
    <t>Jacket survey incl. FMD for Jacket; Pipeline survey; FMD survey for jacket; CP Gradient survey</t>
  </si>
  <si>
    <t>Block 15.1</t>
  </si>
  <si>
    <t>PTSC Thang Long</t>
  </si>
  <si>
    <t>BIEN DONG POC &amp; NCSP</t>
  </si>
  <si>
    <t>BD-OPS-2025-022 &amp; Addendum No.1</t>
  </si>
  <si>
    <t>Provision of In-water Surey Services for Pipeline</t>
  </si>
  <si>
    <t>Pipelines survey; Umbilical/subsea cables survey; CP gradient survey</t>
  </si>
  <si>
    <t>Block 05.2 &amp; 05.3 &amp; NCSP Pipeline</t>
  </si>
  <si>
    <t>Vessel Binh An</t>
  </si>
  <si>
    <t>061-2025/PTSC-KT/MDV</t>
  </si>
  <si>
    <t>UWILD FSO Golden Star</t>
  </si>
  <si>
    <t>Everest 3</t>
  </si>
  <si>
    <t>015-2025/PTSC-GS/ROV/BDV</t>
  </si>
  <si>
    <t>Block 01&amp;02 (PVN)</t>
  </si>
  <si>
    <t>JVPC</t>
  </si>
  <si>
    <t>JVPC/PRD-25-C-009</t>
  </si>
  <si>
    <t>In-water survey by ROV</t>
  </si>
  <si>
    <t>Mr. Nguyen Ngoc Manh - Maintenance Manager</t>
  </si>
  <si>
    <t>0903 755 086</t>
  </si>
  <si>
    <t>Jackets survey; Pipelines survey; CP gradient survey; FMD survey; Sandbag installation</t>
  </si>
  <si>
    <t>Block 15-2</t>
  </si>
  <si>
    <t>Addendum No.06 of 029-2023/PTSC-GS/ROV/BDV</t>
  </si>
  <si>
    <t>Vessel Crest Alpha 1/ Shujaa 2000</t>
  </si>
  <si>
    <t>BDPOC</t>
  </si>
  <si>
    <t>BD-OPS-2024-049</t>
  </si>
  <si>
    <t>Advanced NDT services for corrosion direct assessment</t>
  </si>
  <si>
    <t>CP Gradient survey; NDT inspection using SPA-UT mapping and ToFD methodology</t>
  </si>
  <si>
    <t>Vessel PTSC Thang Long</t>
  </si>
  <si>
    <t>VN-05_1DEV-HCM-B-PD-242 &amp; SO VN-05_1DEV-HCM-B-PA-2978</t>
  </si>
  <si>
    <t>ROV services to operate Subsea safety check valves (SSCV)</t>
  </si>
  <si>
    <t>Mr. Nguyen Thi Do Van - Asset Integrity Manager</t>
  </si>
  <si>
    <t>0901 815 460</t>
  </si>
  <si>
    <t>PVEP POC</t>
  </si>
  <si>
    <t>PVEPPOC-24-10677</t>
  </si>
  <si>
    <t>ROV underwater survey at Dai Hung field</t>
  </si>
  <si>
    <t>Mr. Nguyen Thanh Nam - D. Operation Manager</t>
  </si>
  <si>
    <t>0919 575 862</t>
  </si>
  <si>
    <t>Vessel Phong Nha</t>
  </si>
  <si>
    <t>097/2024/DVK/TMHĐ-PTSC G&amp;S</t>
  </si>
  <si>
    <t>ROV Survey submarine gas pipelines: STV-RD-BH-LH, TGT-BH, RP3-RC1, TU-SV, NCS2 &amp; Free span correction for NCS2</t>
  </si>
  <si>
    <t>Mr. Do Thanh Trung - Deputy General Mannager</t>
  </si>
  <si>
    <t>+84 936 038 800</t>
  </si>
  <si>
    <t>ROV survey submarine gas pipeline: STV-RD-BH-LH, TGT-BH, RP3-RC1, TU-SV &amp; NCS2; CP Gradient survey; Free span correction for submarine gas pipeline NCS2</t>
  </si>
  <si>
    <t>STV-RD-BH-LH-TGT-BH &amp; RP3-RC1, TU-SV &amp; NCS2 Pipelines</t>
  </si>
  <si>
    <t>ZARUBEZHNEFT</t>
  </si>
  <si>
    <t>C-24366A/B and Amendment 01</t>
  </si>
  <si>
    <t>Suspended wells survey</t>
  </si>
  <si>
    <t>Mr. Nguyen Tuan Anh - Production Manager: Tel 0903 906 907</t>
  </si>
  <si>
    <t>ROV survey well head TN-3X, TN-4X, EF-1X &amp; PLDCC-1X</t>
  </si>
  <si>
    <t>Block 06.1 &amp; 12/11</t>
  </si>
  <si>
    <t>Vessel PTSC Hai Phong</t>
  </si>
  <si>
    <t>VOFT</t>
  </si>
  <si>
    <t>RBU-VOFT-HLE-6000YX-00006</t>
  </si>
  <si>
    <t>UWILD FPSO RUBY-II</t>
  </si>
  <si>
    <t>Mr. Vu Van Cuong - RBII Project</t>
  </si>
  <si>
    <t>+84 283 910 2828</t>
  </si>
  <si>
    <t>Hull survey; Mooring chains survey; Risers and accessories survey; Flowline survey; Anode Sled installation</t>
  </si>
  <si>
    <t>Block 01/17 &amp; 02/17, Ruby field</t>
  </si>
  <si>
    <t>038-2024/PTSC-KT/MDV</t>
  </si>
  <si>
    <t>UWILD FPSO PTSC Lam Son</t>
  </si>
  <si>
    <t>Mr. Thinh Van Thin - Operation Acting Manager</t>
  </si>
  <si>
    <t>Hull survey; Mooring chains survey; Risers and accessories survey; Rope access inspection</t>
  </si>
  <si>
    <t>Block 01/97 &amp; 02/97, TL-DD field</t>
  </si>
  <si>
    <t>VN-05_1DEV-HCM-B-PD-242 &amp; Addendum 01</t>
  </si>
  <si>
    <t>Mr. Tran Thanh Thai - D. Drilling Manager</t>
  </si>
  <si>
    <t>+84 909967757</t>
  </si>
  <si>
    <t>ROV Seabed survey and debris removal at SV CPP; ROV survey flexible pipeline</t>
  </si>
  <si>
    <t>Addendum No1 &amp; No.2 '029-2023/PTSC-GS/ROV/BDV</t>
  </si>
  <si>
    <t>Saudi Arabia</t>
  </si>
  <si>
    <t>029-2023/PTSC-GS/ROV/BDV and Addendum No3 &amp; No.5</t>
  </si>
  <si>
    <t>UAE/ Saudi Arabia</t>
  </si>
  <si>
    <t>Vessel Seamec Swordfish/ Crest Alpha 1</t>
  </si>
  <si>
    <t>SKEO</t>
  </si>
  <si>
    <t>Novation Agreement and Contact No. DRL-2023-012-CO</t>
  </si>
  <si>
    <t>Provision of ROV services for HMV-1X Well</t>
  </si>
  <si>
    <t>Mr. Ho Van Nam - Drilling Engineer</t>
  </si>
  <si>
    <t>+84 902 450 266</t>
  </si>
  <si>
    <t>Support for spudding operation; Support for RIH of 30" conductor; Support for cementing job of 30" conductor</t>
  </si>
  <si>
    <t>Block 16-2</t>
  </si>
  <si>
    <t>Rig PVD-VI</t>
  </si>
  <si>
    <t>HIBISCUS</t>
  </si>
  <si>
    <t>LB23-0023</t>
  </si>
  <si>
    <t>UWILD FSO PM-3 CAA</t>
  </si>
  <si>
    <t>Mr. Zairul Ismail - Project &amp; Operation Manager</t>
  </si>
  <si>
    <t>+00 601 9281 7911</t>
  </si>
  <si>
    <t>Hull survey; Mooring chains survey; Risers, MWA &amp; PLEM survey; Ship side opening</t>
  </si>
  <si>
    <t>PM3-CAA field</t>
  </si>
  <si>
    <t>102-2023/PTSC-KT/MDV &amp; PLBS 01</t>
  </si>
  <si>
    <t>Vessel PTSC Binh Minh</t>
  </si>
  <si>
    <t>027-2023/PTSC-GS/ROV/BDV</t>
  </si>
  <si>
    <t>UWILD FPSO MV19</t>
  </si>
  <si>
    <t>Mooring chains survey; CVI spelter sockets and ground wires</t>
  </si>
  <si>
    <t>Block 46-3</t>
  </si>
  <si>
    <t>Vessel Skandi Giant</t>
  </si>
  <si>
    <t>MVOT/FSO-SER/221/23</t>
  </si>
  <si>
    <t>UWILD and Main tether chain replacement for FSO Orkid</t>
  </si>
  <si>
    <t>Mr. Steven George - General Manager of MVOT</t>
  </si>
  <si>
    <t>+00 6012 9139 085</t>
  </si>
  <si>
    <t>151/2023/DVK/TMHĐ-PTSC G&amp;S</t>
  </si>
  <si>
    <t>ROV survey and freespan correction for 18" PM3-Camau Subsea gas pipeline</t>
  </si>
  <si>
    <t>Mr. Do Thanh Trung - Deputy General Manager</t>
  </si>
  <si>
    <t>ROV Survey 18" PM3-Camau Subsea gas pipeline; CP Gradient Survey</t>
  </si>
  <si>
    <t>18" PM3-Camau Subsea gas PL</t>
  </si>
  <si>
    <t>POVO (HEVN)</t>
  </si>
  <si>
    <t>CO23012001</t>
  </si>
  <si>
    <t>ROV Subsea Campaign 2023</t>
  </si>
  <si>
    <t>Lock open &amp; release to neutral X position Subsea valve; Pipelines survey; Umbilciasl survey; PLEMs, Flexible risers survey; UWILD FPSO Lewek Emas; CP Gradient Survey</t>
  </si>
  <si>
    <t>PVEPPOC-DRL-2022-767 (MR 70)</t>
  </si>
  <si>
    <t>Provision of ROV services for DH-21XP ST &amp; DH-4X well</t>
  </si>
  <si>
    <t>Mr. Nguyen Van Hung - Senior Drilling Engineer</t>
  </si>
  <si>
    <t>0386 212 594</t>
  </si>
  <si>
    <t>20" Corrosion cap installation support at DHN-4X; Seabed survey at DHN-4X; Foot print inspection at DH-21XPST; Spudcan survey before and after preload at DH-21XPST</t>
  </si>
  <si>
    <t>Block 05.1a</t>
  </si>
  <si>
    <t>021-2023/PTSC-GS/ROV/BDV</t>
  </si>
  <si>
    <t>016-2023/PTSC-GS/ROV/BDV and Addendum No.01</t>
  </si>
  <si>
    <t>Block 05-2 &amp; 05-3</t>
  </si>
  <si>
    <t>PVEPPOC-DRL-2022-767 (MR 28)</t>
  </si>
  <si>
    <t>Survey DHN-4X slot of subsea template &amp; Spudcan of PVD-VI; Monitoring 26" BHA RIH &amp; POOH into slot#06 (DHN-4X); Monitoring 20" Casing RIH; Monitoring 20" pumping cement</t>
  </si>
  <si>
    <t>JVPC/PRD-23-C-011</t>
  </si>
  <si>
    <t>Jackets survey; Pipelines survey; Sandbag installation; CP gradient survey</t>
  </si>
  <si>
    <t>08-2023/HDTM/LHD-PTSC GS</t>
  </si>
  <si>
    <t>ROV inspection services for MV17 and ROV wellhead survey for LDV-1X &amp; LDV-4X</t>
  </si>
  <si>
    <t>ROV inspection for FSO MV17 including: Mooring chain No.01, 02 Risers and 02 PLEMs; ROV inspection of wellhead LDV-1X and LDV-4X</t>
  </si>
  <si>
    <t>Block 15-2 and Block 15-1/05</t>
  </si>
  <si>
    <t>003-2023/PTSC-KT/MDV</t>
  </si>
  <si>
    <t>UWID FSO BD01 &amp; FPSO RUBY II</t>
  </si>
  <si>
    <t>UWILD survey for FSO BD01 &amp; FPSO Ruby II incl.:; Hull survey;; Mooring chain survey;; Riser &amp; MWA survey;; PLEM survey;; Rope access inspection Ruby II; Flowline survey</t>
  </si>
  <si>
    <t>Block 05-2 &amp; 05-3, HT-MT field and Block 01 &amp; 02, Ruby field</t>
  </si>
  <si>
    <t>MVOT/FSO-SER/113/22</t>
  </si>
  <si>
    <t>UWID FSO Orkid</t>
  </si>
  <si>
    <t>Life extension &amp; lifting operation scope; Back-up tether replacement; Anode installation</t>
  </si>
  <si>
    <t>ROV Quasar Compact 07 &amp; Diving system</t>
  </si>
  <si>
    <t>Vessel HD26</t>
  </si>
  <si>
    <t>017-2022/LHD-PTSCGS/HĐTM</t>
  </si>
  <si>
    <t>MV17- ROV UWILD</t>
  </si>
  <si>
    <t>Inspection of mooring legs; Inspection of Risers, Spools and PLEM; GVI Wellhead</t>
  </si>
  <si>
    <t>VN-05_1DEV-HCM-B-PD-242 &amp; VN-05_1DEV-HCM-B-PA-1826</t>
  </si>
  <si>
    <t>In-water survey</t>
  </si>
  <si>
    <t>Mr. Trinh Viet Dung - Integrity Engineer</t>
  </si>
  <si>
    <t>+84 989 239 799</t>
  </si>
  <si>
    <t>Jacket survey; Pipelines survey; CP Gradient Survey</t>
  </si>
  <si>
    <t>Vessel HD39</t>
  </si>
  <si>
    <t>JVPC/PRD-22-C-014</t>
  </si>
  <si>
    <t>FMD survey; Jacket survey; Sand bag installation</t>
  </si>
  <si>
    <t>018-2022/PTSC-GS/ROV/BDV</t>
  </si>
  <si>
    <t>ROV survey Riser &amp; Spool</t>
  </si>
  <si>
    <t>Mr. Le Xuan Hao - D. Director</t>
  </si>
  <si>
    <t>0918362647</t>
  </si>
  <si>
    <t>Riser survey; Spool survey</t>
  </si>
  <si>
    <t>Vessel HD79</t>
  </si>
  <si>
    <t>Inspection Mooring system; Inspection import system (MWA, PLEM, Flexible risers); GVI port &amp; STBD side hull; GVI, cleaning MG &amp; UT measurement on bottom; GVI bow place, stern place</t>
  </si>
  <si>
    <t>72/2022/DVK/TMHĐ-PTSC G&amp;S</t>
  </si>
  <si>
    <t>ROV survey and freespan correction for submarine gas pipelines STV-RD-BH-LH, TGT-BH, RP3-RC1, TU-SV &amp; NCS2</t>
  </si>
  <si>
    <t>Mr. Do Thanh Trung - Technical Manager</t>
  </si>
  <si>
    <t>ROV Survey submarine gas pipelines STV-RD-BH-LH, TGT-BH, RP3-RC1, TU-SV &amp; NCS2; CP Gradient Survey; ROV performed open/close subsea valve; Freespan correction for submarine gas pipelines STV-RD-BH-LH, TGT-BH, RP3-RC1, TU-SV &amp; NCS2 (grouting installation).</t>
  </si>
  <si>
    <t>ZARUBEZHNEFT (ROSNEFT)</t>
  </si>
  <si>
    <t>C-24045</t>
  </si>
  <si>
    <t>Subsea IMR services</t>
  </si>
  <si>
    <t>Mr. Truong Minh Hieu - PSCM Manager:; Mr. Nguyen Tuan Anh - Production Manager: Tel 0903 906 907</t>
  </si>
  <si>
    <t>0903 759 586</t>
  </si>
  <si>
    <t>LT IMR; PLD &amp; LD subsea inspection (incl. Umbilicals, Flowlines, Subsea wells, PLETs, ...); Support LD SSIV performance testing; Free span rectification by rock bag.; CP Gradient Survey</t>
  </si>
  <si>
    <t>Block 06.1, PLD &amp; LD field</t>
  </si>
  <si>
    <t>ROV Quasar Compact 07 &amp; Triton XLX</t>
  </si>
  <si>
    <t>Vessel Lamantin</t>
  </si>
  <si>
    <t>CLJOC-2022-OPE-2185</t>
  </si>
  <si>
    <t>Seabed Survey &amp; Debris Removal</t>
  </si>
  <si>
    <t>Mr. Pham Van Hien - Drilling Engineer</t>
  </si>
  <si>
    <t>0916 096 036</t>
  </si>
  <si>
    <t>ROV Seabed Survey at WHP-B&amp;F; Debris removal</t>
  </si>
  <si>
    <t>Vessel HD68</t>
  </si>
  <si>
    <t>VN-05_1DEV-HCM-B-PD-242</t>
  </si>
  <si>
    <t>Mr. Tran Thanh Thai - Drilling Manager</t>
  </si>
  <si>
    <t>ROV spud can survey rig Hakuryu-11</t>
  </si>
  <si>
    <t>Gốc ghi "24/10/202-01/11/2021" → sửa năm bắt đầu thành 2021</t>
  </si>
  <si>
    <t>JVPC/DRG-21-C-013</t>
  </si>
  <si>
    <t>Drilling Support</t>
  </si>
  <si>
    <t>Mr. Dinh Tuan Anh - Drilling Manager</t>
  </si>
  <si>
    <t>+84 903007815</t>
  </si>
  <si>
    <t>ROV support RD-19X P&amp;A operation</t>
  </si>
  <si>
    <t>Rig PVD-III</t>
  </si>
  <si>
    <t>037-2021/PTSC-GS/ROV/BDV</t>
  </si>
  <si>
    <t>UWILD FPSO SONG DOC PRIDE MV19</t>
  </si>
  <si>
    <t>GVI Mooring chains; Cleaning and measurement mooring chains</t>
  </si>
  <si>
    <t>Block 46-13, Song Doc field</t>
  </si>
  <si>
    <t>Vessel PTSC Sao Vang</t>
  </si>
  <si>
    <t>CLJOC-2021-OPE-2076</t>
  </si>
  <si>
    <t>Mr. Nguyen Cong Dinh - Drilling Engineer</t>
  </si>
  <si>
    <t>0983334183</t>
  </si>
  <si>
    <t>ROV Seabed Survey at WHP-F &amp; A; Debris removal</t>
  </si>
  <si>
    <t>Vessel HD01</t>
  </si>
  <si>
    <t>PVMTC</t>
  </si>
  <si>
    <t>50/PVMTC-PTSC.GS/2021</t>
  </si>
  <si>
    <t>Mr. Ngo Xuan Hung - Vice - Rector</t>
  </si>
  <si>
    <t>+84 918 070118</t>
  </si>
  <si>
    <t>Hull survey; Mooring chain survey; PLEM survey</t>
  </si>
  <si>
    <t>Vessel HD28</t>
  </si>
  <si>
    <t>DJK</t>
  </si>
  <si>
    <t>2020-O-023</t>
  </si>
  <si>
    <t>Mr. Tetsumin Tokumura</t>
  </si>
  <si>
    <t>+81-80-9020-4522</t>
  </si>
  <si>
    <t>Monitoring POOH BHA; Monitoring RIH 30" casing; Monitoring cement</t>
  </si>
  <si>
    <t>Block 104, Japan</t>
  </si>
  <si>
    <t>Rig Hakuryu 11</t>
  </si>
  <si>
    <t>056-2021/PTSC-KT/MDV</t>
  </si>
  <si>
    <t>UWILD FSO PTSC Bien Dong 01</t>
  </si>
  <si>
    <t>Mr. Nguyen Be Chinh - Deputy Operation Dept Manager</t>
  </si>
  <si>
    <t>(+84) 918 707 699</t>
  </si>
  <si>
    <t>UWILD FSO PTSC BD01; Umbilical survey</t>
  </si>
  <si>
    <t>Gốc ghi "07-05/2021" → hiểu là 07/05/2021</t>
  </si>
  <si>
    <t>JVPC/PRD-21-C-013</t>
  </si>
  <si>
    <t>FMD Survey; Jacket survey; Pipeline survey; Sand bag installation</t>
  </si>
  <si>
    <t>Monitoring BHA passing funnels guide; Monitoring POOH BHA; Monitoring RIH 30" casing; Monitoring cement coming out from wellhead</t>
  </si>
  <si>
    <t>Rig PVD-I</t>
  </si>
  <si>
    <t>POVO</t>
  </si>
  <si>
    <t>CO21012001</t>
  </si>
  <si>
    <t>UWILD &amp; Subsea inspection</t>
  </si>
  <si>
    <t>Mr. Ngo Hoang Nhat - Marine Superintendent</t>
  </si>
  <si>
    <t>+84 989 747 177</t>
  </si>
  <si>
    <t>UWILD survey FPSO Lewek Emas; CS WHP jacket surey; Pipelines survey; Umbilciasl survey; PLEMs, Flexible risers survey.; CP Gradient Survey; FMD Survey</t>
  </si>
  <si>
    <t>ROV Seabed Survey at PIP WHP; Debris removal</t>
  </si>
  <si>
    <t>ENI</t>
  </si>
  <si>
    <t>2020-044</t>
  </si>
  <si>
    <t>Mr. Congia Emanuele - D&amp;C Superintendent</t>
  </si>
  <si>
    <t>+84 966 000 419</t>
  </si>
  <si>
    <t>Seabed survey; Spud can survey; Monitoring string, RIH 30" casing; Moinitoring cement return; Open and close 4" ball vavle of 30" casing</t>
  </si>
  <si>
    <t>Block 114, KB3X</t>
  </si>
  <si>
    <t>006-2021/PTSC-GS/ROV/BDV</t>
  </si>
  <si>
    <t>18" Pipeline post gas-in ROV survey for SV-DN pipeline project</t>
  </si>
  <si>
    <t>Mr. Hoang Van Dam - Project Manager of SVDN PL project</t>
  </si>
  <si>
    <t>0913 856 968</t>
  </si>
  <si>
    <t>GVI 18" pipeline; CVI PLEM, Tie-in spool</t>
  </si>
  <si>
    <t>CLJOC-2020-DEV-2010</t>
  </si>
  <si>
    <t>Subsea Inspection Survey</t>
  </si>
  <si>
    <t>Mr. Truong Minh Duc - D. Facility Engineering Manager</t>
  </si>
  <si>
    <t>+84 903 018 425</t>
  </si>
  <si>
    <t>Jacket inspection; Pipelines &amp; umbilical survey; CP Gradient Survey; UT measurement</t>
  </si>
  <si>
    <t>ROV Quasar Compact 07 &amp; Panther Plus 954</t>
  </si>
  <si>
    <t>Vessel TC Dragon</t>
  </si>
  <si>
    <t>PVEP</t>
  </si>
  <si>
    <t>01/PVEP/2020/WH-Survey</t>
  </si>
  <si>
    <t>Wellhead survey</t>
  </si>
  <si>
    <t>Mr. Nguyen Thanh An - Drilling Engineer</t>
  </si>
  <si>
    <t>0973 748 547</t>
  </si>
  <si>
    <t>GVI Wellheads; GVI Subsea templates</t>
  </si>
  <si>
    <t>Block 09-2/09 and 01/10 &amp; 02/10</t>
  </si>
  <si>
    <t>MDV/LDBD/20/252</t>
  </si>
  <si>
    <t>As-laid survey</t>
  </si>
  <si>
    <t>Seabed survey and debris removal; GVI 18" &amp; 26" pipelines</t>
  </si>
  <si>
    <t>Admendment No.03 of Contract No. C2015-065</t>
  </si>
  <si>
    <t>Mr. Matteo Rivetti - D&amp;C Superintendent</t>
  </si>
  <si>
    <t>+84 938 531 661</t>
  </si>
  <si>
    <t>Seabed survey; Wellhead KB-2X survey; GVI 4" Outlet valve</t>
  </si>
  <si>
    <t>Block 114</t>
  </si>
  <si>
    <t>Rig SAGA</t>
  </si>
  <si>
    <t>255/2020/DVK/TMHĐ-PTSC G&amp;S</t>
  </si>
  <si>
    <t>ROV survey and freespan correction for 18" PM3-Camau &amp; STV-RD-BH-LH, TGT-BH, RP3-RC1 &amp; NCS2-P1</t>
  </si>
  <si>
    <t>ROV Survey submarine gas pipeline 18" PM3-Camau &amp; STV-RD-BH-LH, TGT-BH, RP3-RC1 &amp; NCS2-P1; Freespan correction for submarine gas pipeline 18" PM3-Camau &amp; STV-RD-BH-LH, TGT-BH, RP3-RC1 &amp; NCS2-P1 (grouting installation).; CP Gradient Survey</t>
  </si>
  <si>
    <t>18" PL PM3-Camau và STV-RD-BH-LH-TGT-BH &amp; RP3-RC1 &amp; NCS2-P1 Pipelines</t>
  </si>
  <si>
    <t>JVPC/DRG-19-C-043</t>
  </si>
  <si>
    <t>Seabed Survey and Debris Removal</t>
  </si>
  <si>
    <t>Seabed survey and Debris removal at WHP-E1</t>
  </si>
  <si>
    <t>Vessel Hai Duong 39</t>
  </si>
  <si>
    <t>ROSNEFT</t>
  </si>
  <si>
    <t>C-23805</t>
  </si>
  <si>
    <t>Mr. Truong Minh Hieu - PSCM Manager</t>
  </si>
  <si>
    <t>PLD &amp; LD subsea inspection (incl. Umbilicals, Flowlines, Subsea wells, PLETs, ...); Support LD SSIV performance testing; Free span rectification by grout bag.; CP Gradient Survey</t>
  </si>
  <si>
    <t>Vessel Ashico Lam Son</t>
  </si>
  <si>
    <t>Vessel Sea Meadow 22</t>
  </si>
  <si>
    <t>MDV/LDBD/20/052</t>
  </si>
  <si>
    <t>Pre-installation survey SVDN</t>
  </si>
  <si>
    <t>Seabed survey and debris removal at BK-TNG, FSO at SVDN; Install wave buoy; ROV survey inside jacket slot</t>
  </si>
  <si>
    <t>BD-OPS-2020-047</t>
  </si>
  <si>
    <t>ROV Survey and assitance operation 20" SSIV testing</t>
  </si>
  <si>
    <t>Perform ROV pre-testing survey of 20" SSIV; Support testing of 20" SSIV; Perform ROV pos-testing survey of 20" SSIV</t>
  </si>
  <si>
    <t>Seabed survey and Debris removal; Survey at defected location on pipeline #P18; Survey at RD-19X &amp; PD-2X</t>
  </si>
  <si>
    <t>MODEC</t>
  </si>
  <si>
    <t>Attachment No.02 of Contract No. MMS VN-UWIMCS-003-2017</t>
  </si>
  <si>
    <t>MV12-Underwater Inspection for Possible Oil Leakage</t>
  </si>
  <si>
    <t>Mr.Nguyen Dinh Hung - Operation Manager</t>
  </si>
  <si>
    <t>+84 0254 3515460</t>
  </si>
  <si>
    <t>Leakage investigation of 6" Condensate riser from PLEM to MV12 Turret by injecting Nitrogen and Fluorescent dye</t>
  </si>
  <si>
    <t>Block 11-2</t>
  </si>
  <si>
    <t>Mr. Scaruffi Pier Giacinto - Drilling Manager</t>
  </si>
  <si>
    <t>Seabed &amp; Spud can survey; Monitor descending of BHA to seabed; Monitor for running casing; Monitor for cementing; GVI 4" Outlet valve</t>
  </si>
  <si>
    <t>MVOT/CHAIN/FSO ORKID/142/19/L &amp; Change Order CO/01/2019</t>
  </si>
  <si>
    <t>Mooring chain inspection work for FSO Orkid</t>
  </si>
  <si>
    <t>Mr.Tran Hoai Nam - Deputy General Manager of MVOT</t>
  </si>
  <si>
    <t>+00 60196198421</t>
  </si>
  <si>
    <t>ROV &amp; TSS440 pipetracker Inspection Mooring chain #3; Excavation operation; Support leaking investivigation at BRC WHP</t>
  </si>
  <si>
    <t>ROV Quasar Compact, Diving system &amp; Excavation</t>
  </si>
  <si>
    <t>PTSC AP</t>
  </si>
  <si>
    <t>PTSCAP/LAMSON/CO/03</t>
  </si>
  <si>
    <t>MWA tether chain rectification</t>
  </si>
  <si>
    <t>Mr. Nguyen Hoang Anh - T&amp;I Manager/ Project Manager</t>
  </si>
  <si>
    <t>+84 938 012 304</t>
  </si>
  <si>
    <t>Block 01/97 &amp; 02/97</t>
  </si>
  <si>
    <t>ROV Panther Plus 954 &amp; Diving system</t>
  </si>
  <si>
    <t>Vessel Ashico Lam Son &amp; TC Fortune</t>
  </si>
  <si>
    <t>TNS</t>
  </si>
  <si>
    <t>04/TNS-PTSC G&amp;S/2019</t>
  </si>
  <si>
    <t>Underwater survey</t>
  </si>
  <si>
    <t>Mr. Nguyen Van Luy - Deputy Director</t>
  </si>
  <si>
    <t>0977 547 421</t>
  </si>
  <si>
    <t>WHP-TL, WHP-Đ Jacket survey; Pipeline survey; Umbilical survey; FMD survey.; CP Gradient Survey</t>
  </si>
  <si>
    <t>BD-OPS-2019-073</t>
  </si>
  <si>
    <t>Pipeline Free span Correction</t>
  </si>
  <si>
    <t>Grout bag installation</t>
  </si>
  <si>
    <t>ROV Quantum 04</t>
  </si>
  <si>
    <t>JVPC/DRG-18-C-031</t>
  </si>
  <si>
    <t>Seabed survey; Support for drilling operation</t>
  </si>
  <si>
    <t>Rig PVD-II</t>
  </si>
  <si>
    <t>VOFT-06/2019-PO</t>
  </si>
  <si>
    <t>Inspection Mooring systemc; Inspection import system (MWA, PLEM, Flexible risers); GVI port &amp; STBD side hull; GVI, cleaning MG &amp; UT measurement on bottom; GVI bow place, stern place; Corrosion and protection system.</t>
  </si>
  <si>
    <t>Block 01 &amp; 02, Ruby field</t>
  </si>
  <si>
    <t>MVOT/UWILD/FSO ORKID/056/19/C</t>
  </si>
  <si>
    <t>MDV/LDBD/19/055</t>
  </si>
  <si>
    <t>Mr. Mai Vuong Dong Trung</t>
  </si>
  <si>
    <t>+84 903 192 909</t>
  </si>
  <si>
    <t>Seabed survey by ROV &amp; SSC; Debris removal</t>
  </si>
  <si>
    <t>Block 05-1b &amp; 05-1c, Sao Vang - Dai Nguyet</t>
  </si>
  <si>
    <t>ROV Quantum 03</t>
  </si>
  <si>
    <t>Vessel Binh An Valient</t>
  </si>
  <si>
    <t>NCSP</t>
  </si>
  <si>
    <t>21914/2019/NCSP-PTSC G&amp;S-TOS</t>
  </si>
  <si>
    <t>ROV survey and Free Span Cor-rection for NCSP</t>
  </si>
  <si>
    <t>Mr. Nguyen Ninh Binh - Pipeline Engineer</t>
  </si>
  <si>
    <t>+84 937 692 666</t>
  </si>
  <si>
    <t>ROV survey NCSP; CP Gradient Survey</t>
  </si>
  <si>
    <t>NCSP pipeline</t>
  </si>
  <si>
    <t>JVPC/PRD-19-C-020</t>
  </si>
  <si>
    <t>ROV In-water survey</t>
  </si>
  <si>
    <t>Mr. Vu Tuan Khanh - Senior Maintenance Engineer &amp; Facility Integrity Engineer</t>
  </si>
  <si>
    <t>+84 903007798</t>
  </si>
  <si>
    <t>Jacket survey: NCWI, NULQ, CLPP, WHP-N1, WHP-E1/E1A, WHP-C1, WHP-S1, WHP-PD; Pipeline survey: P1, P2, P3, P4, P5, P6, P7, P8, P9, P10, P11, P13, P14, P15, P16, P17, P18; Free span correction (sandbag installation); Magnetic Marker clamp installation; Seabed survey &amp; Debris removal</t>
  </si>
  <si>
    <t>129/2019/DVK/TMHDD-PTSC G&amp;S-TOS</t>
  </si>
  <si>
    <t>ROV survey and Free Span Cor-rection for NCS2 (P1) gas pipeline</t>
  </si>
  <si>
    <t>Mr. Do Thanh Trung - Deputy Technical Manager</t>
  </si>
  <si>
    <t>ROV survey NCS2 (P1) gas pl; Freespan correction (grout bag installation); Anchor recovery.; CP Gradient Survey</t>
  </si>
  <si>
    <t>NCS2 (P1) pipeline</t>
  </si>
  <si>
    <t>023-2019/PTSC-KT/MDV 024--2019/PTSC-KT/MDV 263/KT-PYCCCDV-QLVF/FPSO PTSC LAM SON</t>
  </si>
  <si>
    <t>UWILD FPSO PTSC Lam Son; Umbilical survey</t>
  </si>
  <si>
    <t>2015-065</t>
  </si>
  <si>
    <t>Mr. Camerlo Camillieri - D&amp;C Superintendent</t>
  </si>
  <si>
    <t>+84 901 310 083</t>
  </si>
  <si>
    <t>Spudcan survey; Monitor descending of BHA to seabed; Monitor for running 30" casing; Monitor for cementing at 30" casing section; Operating subsea ball valve for cementing at 20" Casing section</t>
  </si>
  <si>
    <t>BD-OPS-2019-012</t>
  </si>
  <si>
    <t>GVI WHP-MT1, HT1 &amp; PQP-HT jackets; GVI &amp; CP 12" Well Fluid PL; GVI &amp; CP 20" Gas Export PL; GVI &amp; CP NCSP-2 PL; GVI for exposed section of 92mm OD Subsea cable; GVI 112mm OD Umbilical; GVI exposed section of 2 x 7" I.D flexible condensate subsea pl, 3" I.D fule gas pl; GVI &amp; CP for 20" SSIV and NCS Tie-in Skid.</t>
  </si>
  <si>
    <t>CO18012274</t>
  </si>
  <si>
    <t>Underwater survey &amp; UWILD FPSO Lewek Emas</t>
  </si>
  <si>
    <t>Mr. Patrice Vossier - Engineering Team Leader; Mr. Ngo Hoang Nhat - Marine Superintendent</t>
  </si>
  <si>
    <t>+84 906 988 446; +84 989 747 177</t>
  </si>
  <si>
    <t>UWILD survey FPSO Lewek Emas; CS WHP jacket surey; Pipelines survey; Umbilciasl survey; PLEMs, Flexible risers survey.; CP Gradient Survey; FMD Services.</t>
  </si>
  <si>
    <t>PVEPPOC-DRL-2018-480</t>
  </si>
  <si>
    <t>Mr. N. Makabe - Drilling Superintendent</t>
  </si>
  <si>
    <t>+84 909910708</t>
  </si>
  <si>
    <t>Seabed survey around wellhead; Monitoring descending of 26" BHA to seabed; Monitoring RIH of 20" casing; Monitoring cement pumping</t>
  </si>
  <si>
    <t>Block 42, PQ-1X well</t>
  </si>
  <si>
    <t>Rig java Star 2</t>
  </si>
  <si>
    <t>046A-2018/PTSC-GS/ROV/BDV</t>
  </si>
  <si>
    <t>Provison of ROV Personnel</t>
  </si>
  <si>
    <t>Mr. Nguyen Hoai Nam - Commercial Manager</t>
  </si>
  <si>
    <t>01234462299</t>
  </si>
  <si>
    <t>Mooring chain inspection; Mooring chain measurement</t>
  </si>
  <si>
    <t>Extension of Contract No. MMS VN-UWIMCS-003-2017</t>
  </si>
  <si>
    <t>Underwater inspection of Mooring chain system</t>
  </si>
  <si>
    <t>CLJOC-2018-DEV-1890</t>
  </si>
  <si>
    <t>ROV Subsea Survey</t>
  </si>
  <si>
    <t>Ms. Nguyen Thi Do Van - A&amp;OI Lead Engineer</t>
  </si>
  <si>
    <t>+84 903004851</t>
  </si>
  <si>
    <t>Jackets inspection; FMD Services.; Pipelines survey; CP Gradient Survey; UT measurement</t>
  </si>
  <si>
    <t>TCO</t>
  </si>
  <si>
    <t>017/2018/TCO-PGS/MDV</t>
  </si>
  <si>
    <t>Seabed Survey and Remove De-bris</t>
  </si>
  <si>
    <t>Ms. Tran Thi Thuy</t>
  </si>
  <si>
    <t>+84 903062767</t>
  </si>
  <si>
    <t>Seabed survey; Debris removal</t>
  </si>
  <si>
    <t>Block 15-2/01, HSD field</t>
  </si>
  <si>
    <t>Vessel VT101</t>
  </si>
  <si>
    <t>VSP</t>
  </si>
  <si>
    <t>036/18-VTB1/PTSC</t>
  </si>
  <si>
    <t>Provison of ROV equipment</t>
  </si>
  <si>
    <t>Mr. Bui Vi Luan</t>
  </si>
  <si>
    <t>+84 0961111116</t>
  </si>
  <si>
    <t>UWILD Survey for FPSO Song Doc MV19</t>
  </si>
  <si>
    <t>Vessel Tan Cang 66</t>
  </si>
  <si>
    <t>016/2018/TCO-PGS/MDV</t>
  </si>
  <si>
    <t>162/2018/DVK/TMHDD-PTSC GS &amp; VSP</t>
  </si>
  <si>
    <t>ROV pipeline survey and freespan correction for 18" PM3-Camau &amp; STV-RD-BH-LH, TGT-BH, RP3-RC1</t>
  </si>
  <si>
    <t>Mr. Do Duc Thanh - Technical Manager</t>
  </si>
  <si>
    <t>+84 913 693 110</t>
  </si>
  <si>
    <t>ROV Survey submarine gas pipeline 18" PM3-Camau &amp; STV-RD-BH-LH, TGT-BH, RP3-RC1; Freespan correction for submarine gas pipeline 18" PM3-Camau &amp; STV-RD-BH-LH, TGT-BH, RP3-RC1 (grouting installation).; CP Gradient Survey</t>
  </si>
  <si>
    <t>18" PL PM3-Camau và STV-RD-BH-LH-TGT-BH &amp; RP3-RC1 Pipeline</t>
  </si>
  <si>
    <t>066-2018/PTSC-GS/ROV/BDV</t>
  </si>
  <si>
    <t>Back fill; ROV post-survey</t>
  </si>
  <si>
    <t>Block 5.2&amp;5.3</t>
  </si>
  <si>
    <t>PVEP POC-18-10234</t>
  </si>
  <si>
    <t>Facilities survey and Freespan correction</t>
  </si>
  <si>
    <t>Mr.Hoang Manh Hung - Engineer</t>
  </si>
  <si>
    <t>+84 936 788 802</t>
  </si>
  <si>
    <t>Subsea valve closing; Freespan Correction; Wellhead survey; Flowline &amp; Umbilical Survey</t>
  </si>
  <si>
    <t>033-2018/PTSC-KT/MDV and 049-2018/PTSC-KT/MDV</t>
  </si>
  <si>
    <t>UWILD FSO BD01 &amp; FPSO Ruby II</t>
  </si>
  <si>
    <t>UWILD FSO PTSC Bien Dong 01; UWILD FPSO Ruby II</t>
  </si>
  <si>
    <t>Block 5.2&amp;5.3 and 01&amp;02</t>
  </si>
  <si>
    <t>CLJOC-2017-OPE-1776</t>
  </si>
  <si>
    <t>Mr. Nguyen Ngoc Phu - Marine Maintenance Coordinator</t>
  </si>
  <si>
    <t>+84 908 480224</t>
  </si>
  <si>
    <t>Vessel HD101</t>
  </si>
  <si>
    <t>Addendum No. 01 of Contract No. JVPC/DRG-17-C-003</t>
  </si>
  <si>
    <t>Site Survey and Debris removal</t>
  </si>
  <si>
    <t>Vessel Hai Duong 12</t>
  </si>
  <si>
    <t>VN-B4002CS-1X-HCM-B-PD-064</t>
  </si>
  <si>
    <t>Conducted seabed survey at CS-1X well location with 50m radius; Spudcan survey at Port &amp; STBD legs</t>
  </si>
  <si>
    <t>Block 40/2</t>
  </si>
  <si>
    <t>PO 21181</t>
  </si>
  <si>
    <t>Provison of Offshore representative</t>
  </si>
  <si>
    <t>Ms. Khong Thi Minh</t>
  </si>
  <si>
    <t>+84 (254) 3864100</t>
  </si>
  <si>
    <t>Pipeline survey; freespan correction</t>
  </si>
  <si>
    <t>NCS pipeline</t>
  </si>
  <si>
    <t>Vessel Geoholm</t>
  </si>
  <si>
    <t>ROV Seabed Survey at WHP-B (SDNE) &amp; WHP-C (ST); Debris removal</t>
  </si>
  <si>
    <t>REPSOL/ PTSC M&amp;C</t>
  </si>
  <si>
    <t>25-2017/PTSCMC-PTKD/MDV-E</t>
  </si>
  <si>
    <t>Coral Survey services</t>
  </si>
  <si>
    <t>Mr. Mrtijn Makkink - Repsol project focal point</t>
  </si>
  <si>
    <t>+84 901 388 467</t>
  </si>
  <si>
    <t>Coral survey at block 01-11 and block A &amp; B</t>
  </si>
  <si>
    <t>Block 07/03, CRD field</t>
  </si>
  <si>
    <t>Vessel PTSC Ha Long</t>
  </si>
  <si>
    <t>PVEP POC-17-10710</t>
  </si>
  <si>
    <t>ROV Survey export flowlines</t>
  </si>
  <si>
    <t>Mr. La Anh Hao - Senior Marine Engineer</t>
  </si>
  <si>
    <t>+84 975 588 866</t>
  </si>
  <si>
    <t>Survey 02 export flowlines; Survey MDB</t>
  </si>
  <si>
    <t>Vessel Tan Cang 63</t>
  </si>
  <si>
    <t>304/2017/DVK/TMHĐ-PTSC GS &amp; VSP</t>
  </si>
  <si>
    <t>ROV Survey 26" NCS2 (Phase 1) gas pipeline</t>
  </si>
  <si>
    <t>ROV Survey 26" NCS2 (phase 1) gas pipeline and its spools; Riser and Wye tee survey.; CP Gradient Survey</t>
  </si>
  <si>
    <t>Nam Con Son 2 (phase 1) pipeline</t>
  </si>
  <si>
    <t>Vessel Lewek Ariel</t>
  </si>
  <si>
    <t>DOF/ PTSC</t>
  </si>
  <si>
    <t>060-2017/PTSC-GS/ROV/BDV</t>
  </si>
  <si>
    <t>Subsea valve operation</t>
  </si>
  <si>
    <t>Mr. Vu Dinh Cao Son - ; DOF Contact Point:; Mr. Duncan Johns - Senior Project Engineer</t>
  </si>
  <si>
    <t>+61 402 695 165</t>
  </si>
  <si>
    <t>Block 1/97 &amp; 2/97</t>
  </si>
  <si>
    <t>MMS VN-UWIMCS-003-2017</t>
  </si>
  <si>
    <t>MVOT/FSO ORKID/087/17/C</t>
  </si>
  <si>
    <t>MWA Rectification service for FSO Orkid</t>
  </si>
  <si>
    <t>Pre-rectification survey MWA system; Chane-out MWA tether system; Post-rectification survey; Change-out FSO Orkid's FWD ICCP anode and reference cells</t>
  </si>
  <si>
    <t>Vessel Binh Minh &amp; Binh An</t>
  </si>
  <si>
    <t>MURPHY</t>
  </si>
  <si>
    <t>MSA-0038 - MPNO</t>
  </si>
  <si>
    <t>Mr. Pham Hoang Trung - Senior Drilling Engineer</t>
  </si>
  <si>
    <t>0906667254</t>
  </si>
  <si>
    <t>Seabed survey &amp; sonar scanning at wellhead location; Spud can survey at STBD leg; Monitoring drill with casing to TD 550m; Observation of cement pumping</t>
  </si>
  <si>
    <t>Block 11-2/11</t>
  </si>
  <si>
    <t>JVPC/DRG-17-C-003</t>
  </si>
  <si>
    <t>PVEP POC-17-10357</t>
  </si>
  <si>
    <t>Underwater Survey</t>
  </si>
  <si>
    <t>Mr. Duong Dinh Quan - Structural Engineer; Mr. Do Huu Trung - Drilling Supervisor</t>
  </si>
  <si>
    <t>+84 983 646 868; +84 903 928 915</t>
  </si>
  <si>
    <t>16 Gas pipeline survey; 04 Suspended wellhead survey; 01 Mooring chain survey</t>
  </si>
  <si>
    <t>TALISMAN (REPSOL)</t>
  </si>
  <si>
    <t>TV13617048</t>
  </si>
  <si>
    <t>Mr. Tran Manh Hung - Senior Drilling Engineer</t>
  </si>
  <si>
    <t>+84 938 303253</t>
  </si>
  <si>
    <t>Seabed survey; BOP inspection</t>
  </si>
  <si>
    <t>Block 135-136</t>
  </si>
  <si>
    <t>ROV Millennium 113 &amp; 146</t>
  </si>
  <si>
    <t>Drill Vessel Deep Sea Metro 1</t>
  </si>
  <si>
    <t>KNOC</t>
  </si>
  <si>
    <t>KNOCVN-OPR17-008</t>
  </si>
  <si>
    <t>Inho Jeong - Maintenace Manager; Mr. Trinh Viet Dung - Mechanical Engineer</t>
  </si>
  <si>
    <t>0907 781 578; 0989 239 799</t>
  </si>
  <si>
    <t>GVI and CP for PUQC jacket; GVI and CP for WHd jacket</t>
  </si>
  <si>
    <t>Vessel Hai Duong 01</t>
  </si>
  <si>
    <t>TLJOC</t>
  </si>
  <si>
    <t>CN3317027</t>
  </si>
  <si>
    <t>Driliing Support</t>
  </si>
  <si>
    <t>Mr. Ngo The Duong - Senior Drilling Engineer</t>
  </si>
  <si>
    <t>0903324060</t>
  </si>
  <si>
    <t>Perform a pre-installation survey on rig; Assist during rig Positioning at the HSD &amp; HST; Assist During seabed clearance</t>
  </si>
  <si>
    <t>Block 15-2/01</t>
  </si>
  <si>
    <t>ROV Seahorse 05</t>
  </si>
  <si>
    <t>022-2017/PTSC-GS/ROV/BDV</t>
  </si>
  <si>
    <t>Mr. Tran Le Thanh Tuan - Project Coordinator</t>
  </si>
  <si>
    <t>0964293918</t>
  </si>
  <si>
    <t>GVI &amp; CP Survey 03 Anchor legs; GVI &amp; CP Survey Risers, mid-water arches; GVI umbilical &amp; j-tubes</t>
  </si>
  <si>
    <t>BD-OPS-2017-009</t>
  </si>
  <si>
    <t>GVI &amp; CP 12" Well Fluid PL; GVI &amp; CP 20" Gas Export PL; GVI &amp; CP NCSP-2 PL; GVI for exposed section of 92mm OD Subsea cable; GVI 112mm OD Umbilical; GVI exposed section of 2 x 7" I.D flexible condensate subsea pl, 3" I.D fule gas pl; GVI &amp; CP for 20" SSIV and NCS Tie-in Skid.</t>
  </si>
  <si>
    <t>JVPC/PRD-17-C-001</t>
  </si>
  <si>
    <t>Mr. Ngo Thanh Kham - Maintenance Support Manager</t>
  </si>
  <si>
    <t>+84 903901430</t>
  </si>
  <si>
    <t>FMD survey at WHP-PD &amp; WHP-N1; Pipeline survey: P1, P2, P3, P4, P5, P6, P7, P8, P9, P10, P11, P13, P14, P15, P16, P17, P18; Jacket survey: NCWI, NULQ, CLPP, WHP-N1, WHP-E1/E1A, WHP-C1, WHP-S1, WHP-PD; Free span correction (sandbag installation).; CP Gradient Survey; FMD Services.</t>
  </si>
  <si>
    <t>Seabed survey &amp; sonar scanning prior to drill open hole; Port leg spudcan survey; Monitoring for Drill string with 13-3/8"; Monitoring pumping cement; Check cement surrounding wellhead after completed pumping; Seabed Debris at the completion well.</t>
  </si>
  <si>
    <t>ROV Seabed Survey &amp; Debris removal at 02 Platform WHP-B &amp; WHP-F</t>
  </si>
  <si>
    <t>Vessel Hai Duong 101</t>
  </si>
  <si>
    <t>CSJOC</t>
  </si>
  <si>
    <t>CSJOC-2017-OPE-058 &amp; CSJOC-2017-OPE-018</t>
  </si>
  <si>
    <t>Excavation &amp; ROV Services for P&amp;A</t>
  </si>
  <si>
    <t>Mr. Nguyen Khac Binh - Drilling Manager; Mr. Luu The Truyen - Sr. Drilling Engineer</t>
  </si>
  <si>
    <t>0933 300 909; 0907010701</t>
  </si>
  <si>
    <t>Seabed Survey at WH GC-1P; Support PVD III rigmove and Spudscan; Monitor Wellhead during P&amp;A; Support PVD 3 running tools and conductor; Excavation of burried Drill fish; Excavation of burried 30" WH GC-1P</t>
  </si>
  <si>
    <t>Block 10-11.1</t>
  </si>
  <si>
    <t>JVPC/DRG-17-C-005</t>
  </si>
  <si>
    <t>Seabed survey; Break cement blocks at WHP-E1; Remove/recover debris; Support for diving operation</t>
  </si>
  <si>
    <t>Block 15-2, Rang Dong field</t>
  </si>
  <si>
    <t>MVOT/FSO ORKID/113/16/C</t>
  </si>
  <si>
    <t>Temporary Rectification FSO Orkid MWA tether system</t>
  </si>
  <si>
    <t>Pre-rectification survey MWA system; Remove broken shackle. Check movement of unijoint. Connect and secure existing main tether with temporary chain; Remove and replace existing backup tether bridal chain (NE side); Take sea water sample and tether chain links sample; Post-rectification survey</t>
  </si>
  <si>
    <t>VIETSOVPETRO</t>
  </si>
  <si>
    <t>043/16/T-D5/VSP5-PTSC G&amp;S</t>
  </si>
  <si>
    <t>ROV support to close SSIV</t>
  </si>
  <si>
    <t>Mr. Nguyen Mau Thong - Manager of M.E.I Dept.; Service Project Management Board (SPMB</t>
  </si>
  <si>
    <t>+84 64 3 839871 Ext 2792</t>
  </si>
  <si>
    <t>Block 04-3, BK-TU field</t>
  </si>
  <si>
    <t>Vessel Long Hai 02</t>
  </si>
  <si>
    <t>HVJOC</t>
  </si>
  <si>
    <t>HV-PRD-16-024</t>
  </si>
  <si>
    <t>CNV Subsea survey</t>
  </si>
  <si>
    <t>Mr. Vu Van Cuong - Production Manager; Mr. Le Duc Hung - PL Engineer</t>
  </si>
  <si>
    <t>+84 909099356; 0903 331 838</t>
  </si>
  <si>
    <t>CNV jacket survey; Pipeline survey</t>
  </si>
  <si>
    <t>Block 09-2, CNV field</t>
  </si>
  <si>
    <t>CO16012320</t>
  </si>
  <si>
    <t>Rectification services for GEP flexible support and mattress placement</t>
  </si>
  <si>
    <t>Mr. Tran Van Nguyen - P&amp;D; Mr. Chu Ba Phuong - Marine Superintendent</t>
  </si>
  <si>
    <t>0985673003; +84 985673003</t>
  </si>
  <si>
    <t>Mattress placement; Grout bag installation; Seabed survey and debris removal</t>
  </si>
  <si>
    <t>Block 12W</t>
  </si>
  <si>
    <t>Vessel PTSC Lam Son</t>
  </si>
  <si>
    <t>MVOT/ORKID/UWILD/CO/231/16</t>
  </si>
  <si>
    <t>UWILD FSO ORKID</t>
  </si>
  <si>
    <t>BD-OPS-2016-132</t>
  </si>
  <si>
    <t>Freespan Correction</t>
  </si>
  <si>
    <t>Mr. Nguyen Thanh Tam - Sr. Pipeline engineer</t>
  </si>
  <si>
    <t>+84 933 541 279</t>
  </si>
  <si>
    <t>Groutbag installation</t>
  </si>
  <si>
    <t>Block 05.2 &amp; 05.3, MT-HT field</t>
  </si>
  <si>
    <t>030-2016/PTSC-GS/ROV/BDV</t>
  </si>
  <si>
    <t>UWILD MV19 &amp; Anode installation for PLEM of MV17</t>
  </si>
  <si>
    <t>Mr. Nguyen Duy Hiep - Deputy Director</t>
  </si>
  <si>
    <t>0934818170</t>
  </si>
  <si>
    <t>UWILD MV19; Jacket survey SDA; Anode installation for PLEM of MV17</t>
  </si>
  <si>
    <t>Block 46-2, Block 15-2</t>
  </si>
  <si>
    <t>152-2016/PTSC-LĐBD/MDV</t>
  </si>
  <si>
    <t>Pre-installation Survey</t>
  </si>
  <si>
    <t>Mr. Nguyen Quoc Tuan - Proposal Coordinator</t>
  </si>
  <si>
    <t>+84 902467377</t>
  </si>
  <si>
    <t>Seabed survey &amp; Debris removal; Side Scan Sonar &amp; Multi-Beam Echo Sounder Survey; Dimension &amp; Positioning Survey</t>
  </si>
  <si>
    <t>Gốc ghi "06/08/2016 - 13/07/2016" (ngày bắt đầu sau ngày kết thúc) → suy đoán 06/07/2016, CẦN XÁC NHẬN</t>
  </si>
  <si>
    <t>3rd Extension CLJOC-2009-OPE-011</t>
  </si>
  <si>
    <t>Seabed Survey</t>
  </si>
  <si>
    <t>Mr. Thach Van Thang - Drilling Engineer</t>
  </si>
  <si>
    <t>+84 902 373 547</t>
  </si>
  <si>
    <t>Block 15-1, STN field</t>
  </si>
  <si>
    <t>TNK (ROSNEFT)</t>
  </si>
  <si>
    <t>Frame Agreement # 14640-2, Contract Order No. 26687</t>
  </si>
  <si>
    <t>Emergency Subsea Intervention</t>
  </si>
  <si>
    <t>Mr. Nguyen Tuan Anh - Operation Manager</t>
  </si>
  <si>
    <t>+84 9</t>
  </si>
  <si>
    <t>Emergency Subsea Intervention:; Hydraulic fluid leak detection; Hydraulic valve isolation</t>
  </si>
  <si>
    <t>Block 06.1</t>
  </si>
  <si>
    <t>79/2016/DVK/TMHĐ-PTSC.G&amp;S</t>
  </si>
  <si>
    <t>017-2016PTSC-GS/ROV/BDV</t>
  </si>
  <si>
    <t>UWILD MV12, MV17, FSO BD01, FPSO RUBYII</t>
  </si>
  <si>
    <t>Mr. Nguyen Duy Hiep - Manager Project &amp; Marine Dept</t>
  </si>
  <si>
    <t>UWILD Survey for MV12, MV17, FSO BD01, FPSO RUBYII</t>
  </si>
  <si>
    <t>Rand Dong, Rong Doi Field, Block 01 &amp; 02 Hai Thach Moc Tinh Field</t>
  </si>
  <si>
    <t>Amendment No.2 of Contract No. VN-05_IDN2X-HCM-B-PD-019</t>
  </si>
  <si>
    <t>Mr. Tran Thanh Thai - Drilling Superintendent</t>
  </si>
  <si>
    <t>Monitored cutting 30inchCSG; Monitored RIH of DP and CMT#5; Conducted seabed survey around the well SVW-1X location with 50m radius; BHA survey at new well location; Penetration survey at STBD leg of Hakuryu-11</t>
  </si>
  <si>
    <t>Block 05-1c</t>
  </si>
  <si>
    <t>CO15012756</t>
  </si>
  <si>
    <t>Subsea Inspection &amp; UWILD Survey</t>
  </si>
  <si>
    <t>FMD inspection; Pipeline survey; UWILD FPSO Lewek Emas; Subsea valves operation; Jacket survey; Risers, Umbilicals, MWA, PLEM survey.; CP Gradient Survey</t>
  </si>
  <si>
    <t>CLJOC/ PVMTC</t>
  </si>
  <si>
    <t>ADDENDUM NO. 01 - 506/PVMTC-PTSC.GS/2015</t>
  </si>
  <si>
    <t>UWILD TBVN FPSO</t>
  </si>
  <si>
    <t>Mr. Nguyen Ngoc Phu - Marine Maintenance Coordinator; PVMTC Contact Point; Mr. Ngo Xuan Hung - Vice - Rector</t>
  </si>
  <si>
    <t>+84 908 480224; +84 918 070118</t>
  </si>
  <si>
    <t>GVI Port &amp; STBD side shell frame; GVI Mooring chain; GVI Risers; GVI Umbilical; GVI PLEM</t>
  </si>
  <si>
    <t>Seabed survey for inclination and debris; Locate and recover lost item</t>
  </si>
  <si>
    <t>KNOCVN-DRG16-018</t>
  </si>
  <si>
    <t>Mr. Hyunjung Oh - Drilling Manager</t>
  </si>
  <si>
    <t>0906 399 744</t>
  </si>
  <si>
    <t>Block 11-2, Rong Doi field</t>
  </si>
  <si>
    <t>Block 15-1, STT field</t>
  </si>
  <si>
    <t>Addendum No. 09 Contract. No. PVEPPOC-DRL-2011-048</t>
  </si>
  <si>
    <t>Support installation Trash Cap; Seabed survey</t>
  </si>
  <si>
    <t>Block 09-2/09, KTN-5X well</t>
  </si>
  <si>
    <t>ROV Apache 06</t>
  </si>
  <si>
    <t>Addendum No.09 Contract. No. PVEPPOC-DRL-2011-048</t>
  </si>
  <si>
    <t>Support installation corrossion cap; Assist with POOH for wiper trip; Spud can survey</t>
  </si>
  <si>
    <t>Block 05.1a, DHN-3X</t>
  </si>
  <si>
    <t>ROV Seahorse 02</t>
  </si>
  <si>
    <t>Block 05.1a, DHN-2X</t>
  </si>
  <si>
    <t>Addendum No.08 &amp; 09 Contract. No. PVEPPOC-DRL-2011-048</t>
  </si>
  <si>
    <t>Checking wellhead template for rig located; Observing casing installation; Observing cementing peration</t>
  </si>
  <si>
    <t>Block 15-1/05, LDV-4X Well, Block 09-2/09, KTN-5X well</t>
  </si>
  <si>
    <t>Addendum No.08 Contract. No. PVEPPOC-DRL-2011-048</t>
  </si>
  <si>
    <t>Mr. Todd Gilmore - Lead Drilling Engineer &amp; Second Drilling Superintendent</t>
  </si>
  <si>
    <t>+84 909 313 615</t>
  </si>
  <si>
    <t>Block 09-2/09, SoN-1X Well</t>
  </si>
  <si>
    <t>Rig Parameswara</t>
  </si>
  <si>
    <t>VIETGAZPROM</t>
  </si>
  <si>
    <t>VGPS 13/2015/MSA</t>
  </si>
  <si>
    <t>Mr. Tumanov S.V - General Director; Mr. Nguyen Quoc Quan - Deputy General Director</t>
  </si>
  <si>
    <t>Seadbed survey; Support BOP installation; Bulls eye inspection and Glycol injection</t>
  </si>
  <si>
    <t>Block 131, TB-1X well</t>
  </si>
  <si>
    <t>ROV Typhoon 21</t>
  </si>
  <si>
    <t>CN4115010</t>
  </si>
  <si>
    <t>In-water Survey</t>
  </si>
  <si>
    <t>Mr. Phan Thanh Nguyen - Procurement Specialist; Mr. Dao Ngoc Quyen - Maintenance Inspection Manager</t>
  </si>
  <si>
    <t>0908 250668; 0918 393 678</t>
  </si>
  <si>
    <t>Jacket inspection; FMD Services.; Pipeline survey; CP Gradient Survey</t>
  </si>
  <si>
    <t>Block 15-2/01, HSD well</t>
  </si>
  <si>
    <t>Vessel Crest Alpha 1</t>
  </si>
  <si>
    <t>Gồm 4 mốc ngày (nhiều đợt) → lấy ngày đầu của đợt đầu và ngày cuối của đợt cuối</t>
  </si>
  <si>
    <t>HLJOC</t>
  </si>
  <si>
    <t>HLTL-PRD-15-039</t>
  </si>
  <si>
    <t>Pipeline survey; Umbilical survey; PLEM, SSIV survey.; FMD Services.</t>
  </si>
  <si>
    <t>Block 16-1, TGT well</t>
  </si>
  <si>
    <t>Gốc ghi "2108/2015" → hiểu là 21/08/2015</t>
  </si>
  <si>
    <t>Footprin Survey; Support template installation; Spud can survey and check level of casing cement at template</t>
  </si>
  <si>
    <t>Block 05.1a, DHN-1X well</t>
  </si>
  <si>
    <t>CS-2015-OPE-001A</t>
  </si>
  <si>
    <t>Conductor Recovery</t>
  </si>
  <si>
    <t>Mr. Nguyen Khac Binh - Drilling Manager</t>
  </si>
  <si>
    <t>0933 300 909</t>
  </si>
  <si>
    <t>Conductor recovery; Seabed survey</t>
  </si>
  <si>
    <t>Block 10-11.1, GC-CC well</t>
  </si>
  <si>
    <t>PVEPPOC-DRL-2015-191</t>
  </si>
  <si>
    <t>Seabed Preparation at DHN-2X</t>
  </si>
  <si>
    <t>Seabed preparation (Excava-tion)</t>
  </si>
  <si>
    <t>Block 05.1a, DHN-2X well</t>
  </si>
  <si>
    <t>Seabed survey; Support template installation</t>
  </si>
  <si>
    <t>CN3315003</t>
  </si>
  <si>
    <t>Mr. Mike Kassell - Drilling superintendent; Mr. Tran Duy Hao - Sr. Drilling Engineer</t>
  </si>
  <si>
    <t>+84 979 883 681</t>
  </si>
  <si>
    <t>Rig Atwood Mako</t>
  </si>
  <si>
    <t>CLJOC-2015-DEV-1640</t>
  </si>
  <si>
    <t>Jackets inspection; FMD Services.; Pipelines survey; CP Gradient Survey</t>
  </si>
  <si>
    <t>Vessel VOS Chablis</t>
  </si>
  <si>
    <t>Block 01&amp;02/10, KNV-4XP Well</t>
  </si>
  <si>
    <t>ROV Seahorse 01</t>
  </si>
  <si>
    <t>GVI Template and Seabed survey; Observation of releasing 30" MMR connector; Support installation MMR Corrosion cap; Final site clearance survey with Video &amp; Sonar; Support Spud in LDV-4X and setting 30" Cassing</t>
  </si>
  <si>
    <t>Block 09-2/09, KTN-4X well, Block 15-1/05, LDV-4X Well</t>
  </si>
  <si>
    <t>ROV Apache 07</t>
  </si>
  <si>
    <t>BD-PP-2015-063</t>
  </si>
  <si>
    <t>Mr. Duong Dinh Long - P&amp;P General Manager</t>
  </si>
  <si>
    <t>+84 907 879096</t>
  </si>
  <si>
    <t>Grout bag installation; BTS lateral movement measurement</t>
  </si>
  <si>
    <t>ROV Seahorse 03</t>
  </si>
  <si>
    <t>Tieback operation</t>
  </si>
  <si>
    <t>BD-PP-2015-016</t>
  </si>
  <si>
    <t>Pipeline survey; Umbilical survey; Riser inspection; SSIV inspection &amp; test valve</t>
  </si>
  <si>
    <t>KNOCVN-OPR15-018</t>
  </si>
  <si>
    <t>Underwater &amp; Debis Survey</t>
  </si>
  <si>
    <t>Mr. Nguyen Huy Minh - Sr. Mec Engineer</t>
  </si>
  <si>
    <t>+84 913642985</t>
  </si>
  <si>
    <t>Jackets survey; Pipelines survey; CP Gradient survey; Seabed survey and debris removal</t>
  </si>
  <si>
    <t>Re-connection of FPU DH-01 and Calm Buoy</t>
  </si>
  <si>
    <t>Mr. Nguyen Tat Hoan - Deputy Director</t>
  </si>
  <si>
    <t>090 332 1647</t>
  </si>
  <si>
    <t>ROV support re-connection of FPU DH-01 and Calm Buoy</t>
  </si>
  <si>
    <t>ROV Seahorse 02 &amp; 04</t>
  </si>
  <si>
    <t>Vessel Pacific Silver</t>
  </si>
  <si>
    <t>PO: OF12-15/00015</t>
  </si>
  <si>
    <t>FSO - MV12 Mooring Chain inspection</t>
  </si>
  <si>
    <t>Mr. Nguyen Van Thu - Country Operation Manager; Mr. Bui Minh Tien - Lead Procurement &amp; Logistics Officer</t>
  </si>
  <si>
    <t>+84 919 840 488; +84 914 169 488</t>
  </si>
  <si>
    <t>ROV mooring chain inspection; Rope Access inspection</t>
  </si>
  <si>
    <t>Vessel Pacific 09</t>
  </si>
  <si>
    <t>ROV support running 20" MMR corrosion cap</t>
  </si>
  <si>
    <t>Rig Trident 16</t>
  </si>
  <si>
    <t>PVEP POC/ TOS</t>
  </si>
  <si>
    <t>015-2015/PTSC-GS/ROV/BDV</t>
  </si>
  <si>
    <t>- ROV Inspection and Replacement of FPU DH01 &amp; Calm Buoy's Anchors chain</t>
  </si>
  <si>
    <t>Mr. Le Thanh Ha - Director</t>
  </si>
  <si>
    <t>+84 918020662</t>
  </si>
  <si>
    <t>Inspection and replacement of Daihung 01 FPU &amp; CALM Buoy's anchors and chain cable in Daihung Oil Field; Mooring system inspection for FSO MV12-Rong Doi</t>
  </si>
  <si>
    <t>Support rig positioning; Spud well KTN-4X; Monitor 30" casing</t>
  </si>
  <si>
    <t>Block 09-2/09, KTN-4X Well</t>
  </si>
  <si>
    <t>JVPC/PRD-15-C-005</t>
  </si>
  <si>
    <t>In-water &amp; Seabed Survey</t>
  </si>
  <si>
    <t>Mr. Ngo Thanh Kham - Maintenance Support Manager; Mr. Dinh Tuan Anh - Drilling Manager</t>
  </si>
  <si>
    <t>+84 903901430; +84 903007815</t>
  </si>
  <si>
    <t>Seabed survey and remove debris at WHP-E1A &amp; WHP-S1; Pipeline survey: P1, P2, P3, P4, P5, P6, P7, P8, P9, P10, P11, P13, P14, P15, P16, P17, P18; Jacket survey: WHP-E1/E1A, WHP-C1, CLPP, WHP-N1; Freespan correction (sandbag installlation)</t>
  </si>
  <si>
    <t>Addendum No.3&amp;6 Contract. No. PVEPPOC-DRL-2011-048</t>
  </si>
  <si>
    <t>Well head survey; Seabed survey; Monitor casing</t>
  </si>
  <si>
    <t>Block 01&amp;02/10, KNV-3X &amp; KNV-4XP well</t>
  </si>
  <si>
    <t>EXXONMOBIL</t>
  </si>
  <si>
    <t>A2472740</t>
  </si>
  <si>
    <t>Mr. Eddie Pruett - Projects, Drilling and Exploration Procurement</t>
  </si>
  <si>
    <t>+84 832-624-2876</t>
  </si>
  <si>
    <t>Block 118, CVX Well</t>
  </si>
  <si>
    <t>ROV Magnum 224</t>
  </si>
  <si>
    <t>Rig Ocean Apex</t>
  </si>
  <si>
    <t>095-2014/PTSC-GS/ROV/BDV</t>
  </si>
  <si>
    <t>ROV Inspection and Replacement of FPU DH01 &amp; Calm Buoy's Anchors chain</t>
  </si>
  <si>
    <t>Hooked on these Calm Buoy mooring line; Moved CB Risers away from tensioning area; Deployed and released new Anchor; Monitored tensioner during pre-load and tensioning CB2's anchor; Inspected both of CB2 &amp; CB6's anchors</t>
  </si>
  <si>
    <t>Vessel PTSC Phong Nha</t>
  </si>
  <si>
    <t>HLHV-DRL-13-025</t>
  </si>
  <si>
    <t>Spud can Survey</t>
  </si>
  <si>
    <t>Mr. Richard Murray - Drilling Superintendent</t>
  </si>
  <si>
    <t>+84 908095800</t>
  </si>
  <si>
    <t>Spud can Survey for 3 legs of NAGA 3 at H4 WHP-TGT field</t>
  </si>
  <si>
    <t>Block 16-1</t>
  </si>
  <si>
    <t>Vessel SK Line 106</t>
  </si>
  <si>
    <t>CS-2014-OPE-001</t>
  </si>
  <si>
    <t>Conductor &amp; Wellhead Survey</t>
  </si>
  <si>
    <t>Mr. Dinh Quoc Bao - Drilling Engineer</t>
  </si>
  <si>
    <t>+84 903016084</t>
  </si>
  <si>
    <t>GVI 3 Joints of 30" conductor on seabed; Survey 11.11-GC-1P Wellhead Location</t>
  </si>
  <si>
    <t>Vessel Pacific Platinium</t>
  </si>
  <si>
    <t>CO14012304</t>
  </si>
  <si>
    <t>Concrete Mattresses installation and Seabed Survey</t>
  </si>
  <si>
    <t>Mr. Jonathan Way - Engineering Manager; Mr. John Falconer - Snr Pipeline Engineer; Mr. Tran Van Nguyen - MOC Coordinator</t>
  </si>
  <si>
    <t>+84 907099908; +84 908 660148; +84 985673003</t>
  </si>
  <si>
    <t>Carry out the Procurement and Installation of 215 concrete mattresses 6 m x 3m x 0.15m. - Conduct Seabed Survey.</t>
  </si>
  <si>
    <t>CLJOC/TOS</t>
  </si>
  <si>
    <t>ADDENDUM NO.01 (Contract No. 081-2014/PTSC-GS/ROV/BDV)</t>
  </si>
  <si>
    <t>Cable Laying Support</t>
  </si>
  <si>
    <t>Surveying around bell-mouth and touch down point of CPP and SVSW - Monitoring cable</t>
  </si>
  <si>
    <t>Vessel Seacomanche 07</t>
  </si>
  <si>
    <t>HV-PRD-14-047</t>
  </si>
  <si>
    <t>Mr. Vu Van Cuong - Production Manager</t>
  </si>
  <si>
    <t>+84 909099356</t>
  </si>
  <si>
    <t>GVI and CP for 10" Water injection &amp; 10" Production from CNV WHP to CPP3</t>
  </si>
  <si>
    <t>Block 09-2</t>
  </si>
  <si>
    <t>Vessel Pacific 999</t>
  </si>
  <si>
    <t>PEAL OIL-MUBADALA</t>
  </si>
  <si>
    <t>POT-DRL-2014-S0001</t>
  </si>
  <si>
    <t>Mr. Nguyen Hoang Duong - Chief Drilling Engineer</t>
  </si>
  <si>
    <t>+84 83520 7499</t>
  </si>
  <si>
    <t>Well observation at seabed. - Observation of potential gas breakout around well.</t>
  </si>
  <si>
    <t>Block 04-2</t>
  </si>
  <si>
    <t>ROV Nomad 07</t>
  </si>
  <si>
    <t>Rig Songa Mercur</t>
  </si>
  <si>
    <t>Addendum No.01 Addendum No.02 Contract No. HLHV-DRL-13-025</t>
  </si>
  <si>
    <t>Drilling Support (Well 6X, 5X, 2X)</t>
  </si>
  <si>
    <t>P&amp;A support wells TGT 6X,5X and 2X; Drilling support well TGT WHP</t>
  </si>
  <si>
    <t>Rig Naga 02</t>
  </si>
  <si>
    <t>072-2014/PTSC-GS/ROV/BDV</t>
  </si>
  <si>
    <t>ROV Support for Disconnection of Dai Hung 01 FPU &amp; Calm Buoy System</t>
  </si>
  <si>
    <t>Survey and support to disconnect DH-01 FPU including: 8 mooring chains, 10 clusters of riser and umbilical. - Survey and support to disconnect DH Calm Bouy including moorin chains, 01 cluster of riser.</t>
  </si>
  <si>
    <t>Vessel Pacific Shilver</t>
  </si>
  <si>
    <t>Addendum No.1 HLHV-DRL-13-025</t>
  </si>
  <si>
    <t>Well head survey</t>
  </si>
  <si>
    <t>ROV surveyed 3 wells (6X,5X and 2X); ROV recovered Trash cap - ROV recovered protection frame of well 2X &amp; 5x</t>
  </si>
  <si>
    <t>Vessel VOS Atlas</t>
  </si>
  <si>
    <t>VSP/ PVMTC</t>
  </si>
  <si>
    <t>153/PVMTC-PTSC.GS/2014</t>
  </si>
  <si>
    <t>UWILD FPSO Amada</t>
  </si>
  <si>
    <t>GVI mooring chain and flexible riser from MSL (FPSO) to tie-in PLEM; GVI MWA Jacket</t>
  </si>
  <si>
    <t>TALISMAN</t>
  </si>
  <si>
    <t>TV13614424</t>
  </si>
  <si>
    <t>Install and deployment of the ROV on Rig Discover Seven Sea Rig</t>
  </si>
  <si>
    <t>ROV Magnum 21</t>
  </si>
  <si>
    <t>Rig Discover Seven Sea</t>
  </si>
  <si>
    <t>LSJOC</t>
  </si>
  <si>
    <t>LSDRL_R006_1303</t>
  </si>
  <si>
    <t>Mr. John Harris - Drilling Superintendent</t>
  </si>
  <si>
    <t>+84 938822662</t>
  </si>
  <si>
    <t>Drilling Support for well tie-back of 2 wells</t>
  </si>
  <si>
    <t>Sharing Agreement Contract No. BD-PP-2014-069</t>
  </si>
  <si>
    <t>Opening/ Closing Subsea Valve</t>
  </si>
  <si>
    <t>+84 93830358</t>
  </si>
  <si>
    <t>Closing Check Valve (6"-CV-PLEM) On 6" Gas lift Pipe Line at Dong Do PLEM.</t>
  </si>
  <si>
    <t>Block 01/97 &amp; 02/98</t>
  </si>
  <si>
    <t>BD-PP-2014-069</t>
  </si>
  <si>
    <t>Mr. Nguyen Viet Luu - C&amp;Contract Manager; Mr. Duong Dinh Long - P&amp;P Manager</t>
  </si>
  <si>
    <t>+84 903380220; +84 907 879096</t>
  </si>
  <si>
    <t>Performed free span rectification for 28 locations on 12" Well Fluid PL; Survey mooring buoy at WHP MT1.</t>
  </si>
  <si>
    <t>The Second Extension Contract No. JVPC/DRG-10-C-08</t>
  </si>
  <si>
    <t>Seabed survey around RD-19X.</t>
  </si>
  <si>
    <t>Rig Naga 03</t>
  </si>
  <si>
    <t>BD-PP-2014-059</t>
  </si>
  <si>
    <t>Inwater Survey</t>
  </si>
  <si>
    <t>Performed GVI from WHP-MT1 to WHP -HT1 (PL-BD1)</t>
  </si>
  <si>
    <t>Addendum No.07 Contract. No. PVEPPOC-DRL-2011-048</t>
  </si>
  <si>
    <t>ROV Magnum 09</t>
  </si>
  <si>
    <t>Rig Ocean Quest</t>
  </si>
  <si>
    <t>Observe casing being inserted into new well location. - Monitor cement job</t>
  </si>
  <si>
    <t>Block 09-2/09, KTN-3X Well</t>
  </si>
  <si>
    <t>Rig Key Gibraltar</t>
  </si>
  <si>
    <t>Mr. Dick Murray - Drilling Superintendent</t>
  </si>
  <si>
    <t>0908 095 800</t>
  </si>
  <si>
    <t>Monitor to stab 20" casing into hole</t>
  </si>
  <si>
    <t>POVO/ PVMTC</t>
  </si>
  <si>
    <t>36/PVMTC-PTSC.GS/2014</t>
  </si>
  <si>
    <t>UWILD FPSO Lewek Emas</t>
  </si>
  <si>
    <t>GVI &amp; CP 09 mooring chain, 03 umbilical connection - ROV GVI Port &amp; STBD Shell Hull of FPSO from frame 0 to 80.</t>
  </si>
  <si>
    <t>Vessel Sea Suppporter</t>
  </si>
  <si>
    <t>59/2014/DVK/TMHD-PTSC G&amp;S</t>
  </si>
  <si>
    <t>Survey &amp; Freespan Correction STV-RD-BH-LH pipeline</t>
  </si>
  <si>
    <t>Survey &amp; Freespan Correction STV-RD-BH-LH pipeline.; CP Gradient Survey</t>
  </si>
  <si>
    <t>STV-RD-BH-LH-TGT-BH &amp; RP3-RC1 Pipeline</t>
  </si>
  <si>
    <t>JVPC/DRG-10-C-08</t>
  </si>
  <si>
    <t>Seabed survey for proposed location of West Prospero - Check the position of conductor centralizers in WHP E1A substructure at slot RD21-X</t>
  </si>
  <si>
    <t>Rig West Prospero</t>
  </si>
  <si>
    <t>032/2014/DVK/TMHD-PTSC G&amp;S</t>
  </si>
  <si>
    <t>Survey &amp; Freespan Correction 18" PM3-Camau</t>
  </si>
  <si>
    <t>Survey &amp; Freespan Correction 18" PM3-Camau pipeline.; CP Gradient Survey</t>
  </si>
  <si>
    <t>Block 18" PL PM3-Camau</t>
  </si>
  <si>
    <t>PCVL/POS</t>
  </si>
  <si>
    <t>046B-2014/PTSC-LDBD/MDV</t>
  </si>
  <si>
    <t>ROV Support for Pipeline Trenching and Concrete Mattress Installation</t>
  </si>
  <si>
    <t>Nguyen Xuan Hai Thuong - Comercial Coordinator</t>
  </si>
  <si>
    <t>(84) 903410634)</t>
  </si>
  <si>
    <t>ROV support for Pipeline Trenching and Concrete Mattress Installation</t>
  </si>
  <si>
    <t>Block01&amp;02</t>
  </si>
  <si>
    <t>Vessel Go Explorer</t>
  </si>
  <si>
    <t>Amendment No.01 Contract No. VN-05_1DN2X-HCM-B-PD-019</t>
  </si>
  <si>
    <t>Seabed survey for inclination and debris; Locate and recover lost item - Observe and assist running of BOP &amp; bull eyes</t>
  </si>
  <si>
    <t>Block 05.1c</t>
  </si>
  <si>
    <t>PVEPPOC-DRL-2011-048</t>
  </si>
  <si>
    <t>Well intervention</t>
  </si>
  <si>
    <t>Mr. Nguyen Tien Loc - Operation Manager</t>
  </si>
  <si>
    <t>+903 052001</t>
  </si>
  <si>
    <t>Oservation, intervention and surveying for 6P/7P well at Dai Hung Field.</t>
  </si>
  <si>
    <t>TSJOC/ PVMTC</t>
  </si>
  <si>
    <t>163/PVMTC</t>
  </si>
  <si>
    <t>Wellhead/ Conductor ROV Inspection</t>
  </si>
  <si>
    <t>Survey underwater Jacket structure of WHP Song Doc</t>
  </si>
  <si>
    <t>Block 46/2</t>
  </si>
  <si>
    <t>Vessel PTSC Sai Gon</t>
  </si>
  <si>
    <t>122-2013/PTSC-GS/ROV/BDV</t>
  </si>
  <si>
    <t>Mr. Stefano De Luca - Drilling Superintendent</t>
  </si>
  <si>
    <t>+84 904581979</t>
  </si>
  <si>
    <t>General inspection and cleaning; Seabed inspection for inclination and debris; Locate and recover lost items…</t>
  </si>
  <si>
    <t>Block 120</t>
  </si>
  <si>
    <t>HL-PRD-13-064</t>
  </si>
  <si>
    <t>Inspection for TGT Pipeline, Riser, Gas export, umbilical system, PLEM, SSIV, and under water jacket of TGT H1 &amp; H4 WHP</t>
  </si>
  <si>
    <t>Addendum No.4 Contract. No. PVEPPOC-DRL-2011-048</t>
  </si>
  <si>
    <t>0909910708</t>
  </si>
  <si>
    <t>Observe 26" drill bit through conductor guides - Observe 20" casing shoe passing though conductor guides.</t>
  </si>
  <si>
    <t>Rig West Tucana</t>
  </si>
  <si>
    <t>Premier Oil South B.V (PVOS)</t>
  </si>
  <si>
    <t>CO13007049</t>
  </si>
  <si>
    <t>Mr. Nham Xuan Bich - Senior Drilling Engineer</t>
  </si>
  <si>
    <t>+84 908440735</t>
  </si>
  <si>
    <t>Drilling Support for Rig Ocean General</t>
  </si>
  <si>
    <t>Block 07/03</t>
  </si>
  <si>
    <t>ROV FCV 1040</t>
  </si>
  <si>
    <t>Rig Ocean General</t>
  </si>
  <si>
    <t>Sharing Agreement Contract No. PVEPPOC-DRL-2013-121</t>
  </si>
  <si>
    <t>Pipeline trenching</t>
  </si>
  <si>
    <t>PVEPPOC-DRL-2013-121</t>
  </si>
  <si>
    <t>Seabed preparation (Excavation) at WHP-DH02</t>
  </si>
  <si>
    <t>CLJOC/PPS</t>
  </si>
  <si>
    <t>060-2013/PTSC-DVKT/MDV</t>
  </si>
  <si>
    <t>Disconnection of FSO Queensway</t>
  </si>
  <si>
    <t>Duong Quoc Huy - Deputy Busineess Development Manager</t>
  </si>
  <si>
    <t>+84 909 707674)</t>
  </si>
  <si>
    <t>Pre-survey before decommissioning.; Supporting during disconnection the FSO within ROV’s capabili-ties.; Post survey after decommis-sioning.</t>
  </si>
  <si>
    <t>TLJOC/TOS</t>
  </si>
  <si>
    <t>06/2013/HĐKT/TNS-PTSC G&amp;S</t>
  </si>
  <si>
    <t>WHP-HST Repairing Support</t>
  </si>
  <si>
    <t>Support WHP-HST Repairing</t>
  </si>
  <si>
    <t>Amendment No. 2 Contract No. CO10012449</t>
  </si>
  <si>
    <t>Leaking gas survey</t>
  </si>
  <si>
    <t>Mr. Chu Ba Phuong - Marine Superintendent</t>
  </si>
  <si>
    <t>+84 985673003</t>
  </si>
  <si>
    <t>ROV deploys to do survey of site and assess the leak rate. - ROV survey the area at the apex on the bend in the pipeline.</t>
  </si>
  <si>
    <t>PO 6549</t>
  </si>
  <si>
    <t>Jacket inspection; Pipeline survey; CP Gradient Survey; FMD Services.</t>
  </si>
  <si>
    <t>MVOT/ORKID/206/13/L</t>
  </si>
  <si>
    <t>Mr. Amir - General Manager of MVOT</t>
  </si>
  <si>
    <t>Underwater body (hull) and appendages.; Corrosion and protection system.</t>
  </si>
  <si>
    <t>Talisman PM-3, offshore Peninsu-lar Malaysia</t>
  </si>
  <si>
    <t>PTSC M&amp;C</t>
  </si>
  <si>
    <t>209/2013-PTSCMC-PTKD/MDV-E</t>
  </si>
  <si>
    <t>Pre-installation Survey, As-laid Survey</t>
  </si>
  <si>
    <t>Mr. Do Xuan Dat - TLDD Project - T&amp;I Dept Manager</t>
  </si>
  <si>
    <t>+84 908880804</t>
  </si>
  <si>
    <t>Pre-installation survey - As-laid survey - As-built survey</t>
  </si>
  <si>
    <t>Block 02/97</t>
  </si>
  <si>
    <t>064-2013/PTSC-GS/KS/BDV</t>
  </si>
  <si>
    <t>Pre-installation survey</t>
  </si>
  <si>
    <t>Survey 08 Risers (STN-S:03 Risers;STN-N:04 Risers;WHP-B:01 Riser)</t>
  </si>
  <si>
    <t>Block 01&amp;02</t>
  </si>
  <si>
    <t>CS-2012-OPE-018</t>
  </si>
  <si>
    <t>Mr. Mr. Mike Kassell - Drilling Superintendent</t>
  </si>
  <si>
    <t>(84) 1264007004</t>
  </si>
  <si>
    <t>Drilling Support for Rig Hakinyu 11</t>
  </si>
  <si>
    <t>Block 10&amp;11-1</t>
  </si>
  <si>
    <t>CO10012449</t>
  </si>
  <si>
    <t>Gas Export Pipeline and Infield Flowline; Chim Sao Well Head Platform Survey; Seabed Clearance Surveys .; CP Gradient Survey</t>
  </si>
  <si>
    <t>KNOCVN-OPR13-012</t>
  </si>
  <si>
    <t>Mr. Kim Sung Gye - Maintenance Supervisor.</t>
  </si>
  <si>
    <t>(84-8) 3825 7808</t>
  </si>
  <si>
    <t>ROV Survey of Pipelines and Risers; ROV Survey of PLEM (Subsea Valves; Tie-in Structure).; CP Gradient Survey</t>
  </si>
  <si>
    <t>Driiling Support for Rig Naga 2</t>
  </si>
  <si>
    <t>ORIGIN ENERGY</t>
  </si>
  <si>
    <t>OEUP-13594</t>
  </si>
  <si>
    <t>Mr. Tim Moornane</t>
  </si>
  <si>
    <t>(84-8) 38279715</t>
  </si>
  <si>
    <t>Driiling Support for Rig Ocean General.</t>
  </si>
  <si>
    <t>Block 121</t>
  </si>
  <si>
    <t>MODEC/ PVMTC</t>
  </si>
  <si>
    <t>65.PVMTC-PTSC.GS/2013</t>
  </si>
  <si>
    <t>2013 UWILD FSO/FPSO MV12, 17, 19</t>
  </si>
  <si>
    <t>Mr. Bach Tri Doanh - Technical &amp; Services Manager</t>
  </si>
  <si>
    <t>(84) 64 359 2215</t>
  </si>
  <si>
    <t>Hull Survey; Chain Survey; Mid Water Arch Survey</t>
  </si>
  <si>
    <t>Block 46-2, 15-2, 11-2</t>
  </si>
  <si>
    <t>Vessel Sea Cherokee</t>
  </si>
  <si>
    <t>037-2013/PTSC-GS/ROV/BDV</t>
  </si>
  <si>
    <t>2013 In-water Survey</t>
  </si>
  <si>
    <t>Jacket survey; Pipeline survey; Riser survey</t>
  </si>
  <si>
    <t>51/PVMTC-PTSC.GS/2013</t>
  </si>
  <si>
    <t>2013 UWILD FPSO TBVN</t>
  </si>
  <si>
    <t>Mr.Dao Manh Tuong</t>
  </si>
  <si>
    <t>039-2013/PTSC-GS/ROV/BDV</t>
  </si>
  <si>
    <t>2nd Extension CLJOC-2009-OPE-011</t>
  </si>
  <si>
    <t>Mr. Pham Thanh Hai - Drilling Engineer</t>
  </si>
  <si>
    <t>+84 904 531 599</t>
  </si>
  <si>
    <t>Addendum No.3 Contract. No. PVEPPOC-DRL-2011-048</t>
  </si>
  <si>
    <t>Drilling Support for Rig Key Gibraltar</t>
  </si>
  <si>
    <t>Block 01&amp;02/10, KNV-2X Well</t>
  </si>
  <si>
    <t>ROV Apache 06, Seahorse 05</t>
  </si>
  <si>
    <t>012-2013/PTSC-GS/ROV/BDV</t>
  </si>
  <si>
    <t>ROV support to repair of Calm bouy at Dai Hung Field</t>
  </si>
  <si>
    <t>Support to repair of Calm bouy at Dai Hung Field</t>
  </si>
  <si>
    <t>CN3312027</t>
  </si>
  <si>
    <t>Mr. Tran Thanh Long - Drilling Superintendent</t>
  </si>
  <si>
    <t>+84 (0)90 301 2445</t>
  </si>
  <si>
    <t>Monitoring 30” conductor installa-tion; Wellhead cleaning</t>
  </si>
  <si>
    <t>Rig Ensco 107</t>
  </si>
  <si>
    <t>090-2012/PTSC-GS/ROV/BDV</t>
  </si>
  <si>
    <t>ROV Calm Buoy Chain Survey</t>
  </si>
  <si>
    <t>Seabed survey; Anchor chain sur-vey</t>
  </si>
  <si>
    <t>JVPC/DRG-12-C-014</t>
  </si>
  <si>
    <t>Seabed survey; Remove debris</t>
  </si>
  <si>
    <t>VN-05_1DN2X-HCM-B-PD-019</t>
  </si>
  <si>
    <t>BOP inspection; Seabed survey</t>
  </si>
  <si>
    <t>Block 05-1b&amp;1c</t>
  </si>
  <si>
    <t>ROV Typhoon 8</t>
  </si>
  <si>
    <t>Rig Ocean Patriot rig</t>
  </si>
  <si>
    <t>HV-PRD-12-020</t>
  </si>
  <si>
    <t>CNV Jacket sur-vey; Pipeline survey; Riser survey</t>
  </si>
  <si>
    <t>PVEPPOC-2012-125</t>
  </si>
  <si>
    <t>Wellhead inspec-tion</t>
  </si>
  <si>
    <t>Mr. Nguyen Quang Ha - D. Operation Manager</t>
  </si>
  <si>
    <t>0918 046 168</t>
  </si>
  <si>
    <t>Wellhead inspection</t>
  </si>
  <si>
    <t>Vessel Pacific 99</t>
  </si>
  <si>
    <t>88/2012/DVK/TMHD-PTSCG&amp;S</t>
  </si>
  <si>
    <t>Pipeline Survey</t>
  </si>
  <si>
    <t>Pipeline survey; Magnetic Marker Installation</t>
  </si>
  <si>
    <t>McDEMOTT</t>
  </si>
  <si>
    <t>R2920C-SC03C</t>
  </si>
  <si>
    <t>Standby onshore</t>
  </si>
  <si>
    <t>Onshore</t>
  </si>
  <si>
    <t>JVPC/PRD-12-C-003</t>
  </si>
  <si>
    <t>Re-location of Sunken Boat Landing</t>
  </si>
  <si>
    <t>Deed of Assignment among PQ POC &amp; SSC &amp; PTSC G&amp;S/ Addendum No.2 of Contract No. PQ-C-OPE-10-013/ROV/SEAHORSE</t>
  </si>
  <si>
    <t>Spud can survey; Seabed survey; Monitoring 30” conductor installa-tion</t>
  </si>
  <si>
    <t>ROV Apache 07, Apache 06</t>
  </si>
  <si>
    <t>Rig Key Hawaii/ Key Gibratar</t>
  </si>
  <si>
    <t>1st Extension JVPC/DRG-10-C-08</t>
  </si>
  <si>
    <t>Mr. Bui Minh Ho - Deputy Drilling Superintendent</t>
  </si>
  <si>
    <t>+84 903 834 015</t>
  </si>
  <si>
    <t>Seabed survey; Spud can survey</t>
  </si>
  <si>
    <t>Rig PVD-I/ Vessel Binh Minh</t>
  </si>
  <si>
    <t>JVPC/PRD-12-C-001</t>
  </si>
  <si>
    <t>Emergence In-water Survey</t>
  </si>
  <si>
    <t>WHP-C1 Jacket survey; Risers survey; Boat landing sur-vey</t>
  </si>
  <si>
    <t>Vessel Sea Cheyenne</t>
  </si>
  <si>
    <t>Seabed survey</t>
  </si>
  <si>
    <t>Vessel Lewek Pelican</t>
  </si>
  <si>
    <t>SO-2011-0150</t>
  </si>
  <si>
    <t>Monitor Drill String Running; Centralizer Survey; Monitor Cement Pumping; Spud Can Survey; Rescue ROV</t>
  </si>
  <si>
    <t>Vessel Posh Resolute</t>
  </si>
  <si>
    <t>085-2011/PTSC-GS/ROV/BDV</t>
  </si>
  <si>
    <t>ROV supports Mooring Hook-up</t>
  </si>
  <si>
    <t>Mr. Le Tran Minh Tri - Drilling &amp; Completion Manager</t>
  </si>
  <si>
    <t>0937 811 055</t>
  </si>
  <si>
    <t>Supporting hook up mooring chain</t>
  </si>
  <si>
    <t>HLHV-DRL-11-095</t>
  </si>
  <si>
    <t>Seabed &amp; foot-print survey; Spud can survey; Support casing &amp; centralizer installa-tion</t>
  </si>
  <si>
    <t>ROV Panther Plus 954/ ROV Panther Plus 911</t>
  </si>
  <si>
    <t>Rig PVD-II/ PVD-I</t>
  </si>
  <si>
    <t>072-2011/PTSC-GS/ROV/BDV</t>
  </si>
  <si>
    <t>Wellhead GVI and Metrology</t>
  </si>
  <si>
    <t>Mr. Tran Le Bang - Structural Engineer</t>
  </si>
  <si>
    <t>84-8 8230 234</t>
  </si>
  <si>
    <t>Wellhead GVI and Subsea Metrology using 3D Sonar &amp; Subsea Gyro</t>
  </si>
  <si>
    <t>Block 15/02-1</t>
  </si>
  <si>
    <t>CLJOC (Conoco Philips)</t>
  </si>
  <si>
    <t>OPE-PRO-10-399/032191</t>
  </si>
  <si>
    <t>2011 In-water Survey</t>
  </si>
  <si>
    <t>Jacket inspection; Pipeline survey; CP Gradient measurement</t>
  </si>
  <si>
    <t>HLJOC/ POS</t>
  </si>
  <si>
    <t>056-2011/PTSC-GS/ROV/BDV</t>
  </si>
  <si>
    <t>FPSO Mooring Hook</t>
  </si>
  <si>
    <t>Mr. Nguyen Ngoc Truong - D. Director.</t>
  </si>
  <si>
    <t>(84-64) 3515758</t>
  </si>
  <si>
    <t>IDS Darussalam</t>
  </si>
  <si>
    <t>BP</t>
  </si>
  <si>
    <t>14640-01</t>
  </si>
  <si>
    <t>IRM Survey Services</t>
  </si>
  <si>
    <t>Mr. Huynh Trieu Hung - Subsea Engineer</t>
  </si>
  <si>
    <t>(84-8) 37443198</t>
  </si>
  <si>
    <t>Jacket Inspection; FMD survey; CP Gradient Survey; Pipeline &amp; Flowline Survey</t>
  </si>
  <si>
    <t>KNOCVN-OPR11-015</t>
  </si>
  <si>
    <t>Underwater Survey Services</t>
  </si>
  <si>
    <t>Jacket survey; CP Gradient survey; Marine growth measurement; Pipeline survey</t>
  </si>
  <si>
    <t>BHP BILLINTON</t>
  </si>
  <si>
    <t>MP057300037</t>
  </si>
  <si>
    <t>Mr. Alan Gauld - ; (84 - 8) 6288 8742</t>
  </si>
  <si>
    <t>Scour &amp; Debris survey; Monitoring drill bit operation; Monitor 30” con-ductor installation</t>
  </si>
  <si>
    <t>Bao Dom May-1X</t>
  </si>
  <si>
    <t>Offshore Reso-lute</t>
  </si>
  <si>
    <t>75/PVMTC-PGS/2011</t>
  </si>
  <si>
    <t>UWILD Inspection for FPSO MV19</t>
  </si>
  <si>
    <t>Block 46/02</t>
  </si>
  <si>
    <t>Vessel PTSC DK 101</t>
  </si>
  <si>
    <t>UWILD Inspection for FSO Rong Doi MV12</t>
  </si>
  <si>
    <t>UWILD Inspection for FSO Rang Dong MV17</t>
  </si>
  <si>
    <t>77/PVMTC-PGS/2011</t>
  </si>
  <si>
    <t>UWILD Inspection for FPSO Thai Binh VN</t>
  </si>
  <si>
    <t>Riser survey; Mooring chain survey</t>
  </si>
  <si>
    <t>ROV Mini Astrix</t>
  </si>
  <si>
    <t>63/2011/DVK/TMHD-PTSCG&amp;S</t>
  </si>
  <si>
    <t>Free Span Correction PM3 – Ca Mau</t>
  </si>
  <si>
    <t>0913 693 110</t>
  </si>
  <si>
    <t>Free Span Correction (Grout bag installation)</t>
  </si>
  <si>
    <t>Vessel Sea Fox</t>
  </si>
  <si>
    <t>JVPC/DRG-11-C-003</t>
  </si>
  <si>
    <t>In-water Survey and Free Span Correction</t>
  </si>
  <si>
    <t>Jacket inspection; Pipeline survey; Sand bag installa-tion</t>
  </si>
  <si>
    <t>19/2011/DVK/TMHD-PTSCG&amp;S</t>
  </si>
  <si>
    <t>ROV survey and Free Span Cor-rection for STV-RD-BH-LH Sub-marine Gas Pipe-line</t>
  </si>
  <si>
    <t>Pipeline survey; Free span correc-tion</t>
  </si>
  <si>
    <t>STV-RD-BH-LH Pipeline</t>
  </si>
  <si>
    <t>Vessel Bibby Aquama-rine</t>
  </si>
  <si>
    <t>014-2011/PRO/PVEPPOC-PTSC G&amp;S and SO No.032-2011/PRO/PVEPPOC-PTSC G&amp;S</t>
  </si>
  <si>
    <t>Calm Buoy chain renewal</t>
  </si>
  <si>
    <t>Renewal Calm Bouy chain; MDB/FL survey</t>
  </si>
  <si>
    <t>1st Agreement CLJOC-2009-OPE-011</t>
  </si>
  <si>
    <t>Wellhead inspection; Debris removal</t>
  </si>
  <si>
    <t>Mr. Scott Greig - Contract and Procurement Manager</t>
  </si>
  <si>
    <t>(84-8) 3910 5788</t>
  </si>
  <si>
    <t>MDB, Gravity sur-vey; J-Tube survey; Spud can survey</t>
  </si>
  <si>
    <t>ROV Sea Valiant</t>
  </si>
  <si>
    <t>ESSAR</t>
  </si>
  <si>
    <t>4700800135/10-11</t>
  </si>
  <si>
    <t>Andrew Fleming; GM Offshore Operations</t>
  </si>
  <si>
    <t>+84 902 355 058</t>
  </si>
  <si>
    <t>Support installa-tion of guide wires</t>
  </si>
  <si>
    <t>Block 4-3</t>
  </si>
  <si>
    <t>Rig Essar Wildcat</t>
  </si>
  <si>
    <t>Seabed &amp; Debris Survey Open Subsea valves on STV Pipelines. Well Cap Survey. Pipeline Survey</t>
  </si>
  <si>
    <t>Re-coordinate gas pipeline; Seabed survey; Debris survey; Recover debris</t>
  </si>
  <si>
    <t>014-2011/PRO/PVEPPOC-PTSC G&amp;S</t>
  </si>
  <si>
    <t>Leaking survey</t>
  </si>
  <si>
    <t>MDB, Calm Bouy survey; Mooring Chain survey</t>
  </si>
  <si>
    <t>HL-OPS-10-128</t>
  </si>
  <si>
    <t>Seabed survey upon competition of P&amp;A</t>
  </si>
  <si>
    <t>CS-2010-OPE-018</t>
  </si>
  <si>
    <t>Drilling Support (PTSC’s ROV Workclass in-stalled on the Actina Semi Submersible Rig)</t>
  </si>
  <si>
    <t>Le Truong Thinh - Senior Engineer</t>
  </si>
  <si>
    <t>0902 219 955</t>
  </si>
  <si>
    <t>Monitoring casing come into PGB; Monitor cuting 30” Casing; PGB inspection</t>
  </si>
  <si>
    <t>Rig Actinia</t>
  </si>
  <si>
    <t>HLPOC</t>
  </si>
  <si>
    <t>HLPOC-DRL-10-061</t>
  </si>
  <si>
    <t>Block 09-2/09</t>
  </si>
  <si>
    <t>159/2010/DVK/TMHD-PPS</t>
  </si>
  <si>
    <t>Pipeline Survey and Free Span Correction</t>
  </si>
  <si>
    <t>Pipeline survey 287km</t>
  </si>
  <si>
    <t>Vessel Mermaid Challenger</t>
  </si>
  <si>
    <t>PCVL</t>
  </si>
  <si>
    <t>PCVL/PRO/2009/069</t>
  </si>
  <si>
    <t>Underwater Sur-vey, Seabed Sur-vey and Drilling Support</t>
  </si>
  <si>
    <t>Mr. Nguyen Viet Hung - Reliability and Maintenance Manager</t>
  </si>
  <si>
    <t>0903 114 669</t>
  </si>
  <si>
    <t>Jacket inspection; Pipeline survey; Trash cap installation; Seabed survey</t>
  </si>
  <si>
    <t>Rig PVD-II/ Vessel PTSC Ha Noi</t>
  </si>
  <si>
    <t>TSJOC</t>
  </si>
  <si>
    <t>RFQ331025</t>
  </si>
  <si>
    <t>Mr. Fraser Tavendale - Drilling Manager</t>
  </si>
  <si>
    <t>Drilling support; Seabed survey</t>
  </si>
  <si>
    <t>DAI HUNG</t>
  </si>
  <si>
    <t>088-2010/DV_DH-PPS</t>
  </si>
  <si>
    <t>Underwater Survey &amp; Anode Installation</t>
  </si>
  <si>
    <t>Jacket survey; Flowline survey; Wellhead survey; Anode installation</t>
  </si>
  <si>
    <t>SO-DRG-10-027</t>
  </si>
  <si>
    <t>Mr. Jeong Hwan Wook - Operation Manager</t>
  </si>
  <si>
    <t>ROV Apache</t>
  </si>
  <si>
    <t>Block</t>
  </si>
  <si>
    <t>In-water Suvey &amp; Free Span Correction</t>
  </si>
  <si>
    <t>Jacket survey; Pipeline survey; Sandbag installation</t>
  </si>
  <si>
    <t>WO: DEV-PRD-10-165/ 027401 and WO: DEV-PR-10-006/ 027391</t>
  </si>
  <si>
    <t>Leaking Gas survey &amp; Free Span Correction</t>
  </si>
  <si>
    <t>Mr. Nguyen Hai Viet - Construction Sup.</t>
  </si>
  <si>
    <t>0903 357 677</t>
  </si>
  <si>
    <t>Leaking gas survey; Groutbag installation</t>
  </si>
  <si>
    <t>1st Agreement JVPC/DRG-08-C-010</t>
  </si>
  <si>
    <t>0903 834 015</t>
  </si>
  <si>
    <t>HV-OPS-10-044</t>
  </si>
  <si>
    <t>Rig Offshore Reso-lute</t>
  </si>
  <si>
    <t>SO-DRG-10-001 Rev01</t>
  </si>
  <si>
    <t>Debris Suvey</t>
  </si>
  <si>
    <t>Seabed survey; Debris recovery</t>
  </si>
  <si>
    <t>DEV-10-004/026384</t>
  </si>
  <si>
    <t>In-water Suvey</t>
  </si>
  <si>
    <t>Pipeline survey</t>
  </si>
  <si>
    <t>ROV Contract</t>
  </si>
  <si>
    <t>Plem and Riser Survey</t>
  </si>
  <si>
    <t>Plem &amp; Riser survey</t>
  </si>
  <si>
    <t>Ruby field</t>
  </si>
  <si>
    <t>Addendum No.01 CLJOC-2009-OPE-011</t>
  </si>
  <si>
    <t>Jacket survey; Pipeline survey; Shackles &amp; pins of STD FPSO inspection</t>
  </si>
  <si>
    <t>96-2009/PTSC-DVKT/BDV</t>
  </si>
  <si>
    <t>Support for Riser installation</t>
  </si>
  <si>
    <t>Support for Riser installation; Calm buoy chain inspection</t>
  </si>
  <si>
    <t>SO No.OPR-H09-1392</t>
  </si>
  <si>
    <t>WHD and PUQC's Jacket survey; Pipeline survey</t>
  </si>
  <si>
    <t>JVPC/PRD-09-C-023</t>
  </si>
  <si>
    <t>CLPP, WHP-PD, WHP-S1 Jacket; Pipeline survey</t>
  </si>
  <si>
    <t>HV-OPS-09-047</t>
  </si>
  <si>
    <t>CLJOC-2009-OPE-011</t>
  </si>
  <si>
    <t>Seabed survey; Debris survey; Open subsea valves on STV PL</t>
  </si>
  <si>
    <t>JVPC/DRG-08-C-10</t>
  </si>
  <si>
    <t>Rig Trident IX</t>
  </si>
  <si>
    <t>PETRONAS</t>
  </si>
  <si>
    <t>PCVL/PRO/2008/021</t>
  </si>
  <si>
    <t>Pipeline survey; Seabed survey</t>
  </si>
  <si>
    <t>Block 01 &amp; 02</t>
  </si>
  <si>
    <t>SO/4500583837</t>
  </si>
  <si>
    <t>Block Peal</t>
  </si>
  <si>
    <t>CHEVRON</t>
  </si>
  <si>
    <t>CVN/08/007</t>
  </si>
  <si>
    <t>Block 52 &amp; B</t>
  </si>
  <si>
    <t>JRM</t>
  </si>
  <si>
    <t>R2851-SC02</t>
  </si>
  <si>
    <t>Pre-lay survey</t>
  </si>
  <si>
    <t>STV-RD-BH</t>
  </si>
  <si>
    <t>HLHVJOC</t>
  </si>
  <si>
    <t>HLHV-OPS-08-004</t>
  </si>
  <si>
    <t>JVPC/DRG-06-C-03 &amp; 2nd Amendment</t>
  </si>
  <si>
    <t>CLJOC-2008-OPE-002 and ADDENDUM No.01</t>
  </si>
  <si>
    <t>In-water Survey &amp; Drilling support</t>
  </si>
  <si>
    <t>STD wellhead platform survey; Pipeline, umbilical survey; Drilling support</t>
  </si>
  <si>
    <t>CLJOC-2005-OPE-033 and Addendum No.2</t>
  </si>
  <si>
    <t>Rig Galveston Key</t>
  </si>
  <si>
    <t>250-2007/PTSC-DVKT/BDV</t>
  </si>
  <si>
    <t>Anchor Chain Survey</t>
  </si>
  <si>
    <t>Anchor chain survey</t>
  </si>
  <si>
    <t>JVPC/DRG-06-C-03</t>
  </si>
  <si>
    <t>SO-HV-OPS-0702-017</t>
  </si>
  <si>
    <t>HL-OPS-07-SO11-R1</t>
  </si>
  <si>
    <t>BP127.87</t>
  </si>
  <si>
    <t>KNOCVN-DEV06-006</t>
  </si>
  <si>
    <t>CLJOC-2006-DEV-T013</t>
  </si>
  <si>
    <t>CLJOC-2005-OPE-033 and OPE-PRO-06-049/008219</t>
  </si>
  <si>
    <t>Jacket survey; Pipeline survey</t>
  </si>
  <si>
    <t>PVC/100/06</t>
  </si>
  <si>
    <t>RBDP Jacket survey</t>
  </si>
  <si>
    <t>Ô gốc trống</t>
  </si>
  <si>
    <t>JVPC/DRGV-01-C-011 &amp; 4th Extention Agreement</t>
  </si>
  <si>
    <t>VIETNAM-CON-1592</t>
  </si>
  <si>
    <t>ROV Services in support of BP’s operations</t>
  </si>
  <si>
    <t>JVPC/DRGV-01-C-011 &amp; 3rd Extention Agreement</t>
  </si>
  <si>
    <t>PVEP-DAI HUNG</t>
  </si>
  <si>
    <t>119-2005/PTSC-DVKT/BDV</t>
  </si>
  <si>
    <t>CLJOC-2004-OPE-026</t>
  </si>
  <si>
    <t>ROV Services for Seabed Survey and Drilling Support</t>
  </si>
  <si>
    <t>JRM/PCV</t>
  </si>
  <si>
    <t>PCV/RBDP-B/2003/211 and BMD Ref No.R2456</t>
  </si>
  <si>
    <t>Leak Detection</t>
  </si>
  <si>
    <t>DÒNG GỐC (sheet Track Record)</t>
  </si>
  <si>
    <t>TRƯỜNG</t>
  </si>
  <si>
    <t>GIÁ TRỊ GỐC</t>
  </si>
  <si>
    <t>GIÁ TRỊ SAU XỬ LÝ</t>
  </si>
  <si>
    <t>VẤN ĐỀ / GHI CHÚ</t>
  </si>
  <si>
    <t>MỨC ĐỘ</t>
  </si>
  <si>
    <t>Thời gian</t>
  </si>
  <si>
    <t>29/09/2026- …./11/2026</t>
  </si>
  <si>
    <t>29/09/2026 → (trống)</t>
  </si>
  <si>
    <t>Gốc chỉ ghi dự kiến kết thúc tháng 11/2026 (chưa có ngày) → để trống ngày kết thúc</t>
  </si>
  <si>
    <t>Chưa có ngày kết thúc</t>
  </si>
  <si>
    <t>30/09/2026- …./10/2026</t>
  </si>
  <si>
    <t>30/09/2026 → (trống)</t>
  </si>
  <si>
    <t>Gốc chỉ ghi dự kiến kết thúc tháng 10/2026 (chưa có ngày) → để trống ngày kết thúc</t>
  </si>
  <si>
    <t>01/01/2026- On going</t>
  </si>
  <si>
    <t>01/01/2026 → (trống)</t>
  </si>
  <si>
    <t>Đang thực hiện (On going) → để trống ngày kết thúc</t>
  </si>
  <si>
    <t>Chi phí</t>
  </si>
  <si>
    <t>Giá trị được tính từ công thức (có quy đổi VND→USD), cần kiểm tra lại</t>
  </si>
  <si>
    <t>Kiểm tra</t>
  </si>
  <si>
    <t>18/12/2023-31/12/2024</t>
  </si>
  <si>
    <t>18/12/2023 → 31/12/2024 (380 ngày)</t>
  </si>
  <si>
    <t>Dự án/hợp đồng kéo dài trên 365 ngày – kiểm tra xem có đúng không</t>
  </si>
  <si>
    <t>24/10/202-01/11/2021</t>
  </si>
  <si>
    <t>24/10/2021 → 01/11/2021</t>
  </si>
  <si>
    <t>Đã sửa lỗi gõ</t>
  </si>
  <si>
    <t>07-05/2021-18/05/2021</t>
  </si>
  <si>
    <t>07/05/2021 → 18/05/2021</t>
  </si>
  <si>
    <t>06/08/2016 13/07/2016</t>
  </si>
  <si>
    <t>06/07/2016 → 13/07/2016</t>
  </si>
  <si>
    <t>Đã sửa theo suy đoán</t>
  </si>
  <si>
    <t>21/08/2015 31/08/2015 04/09/2015 23/09/2015</t>
  </si>
  <si>
    <t>21/08/2015 → 23/09/2015</t>
  </si>
  <si>
    <t>15/08/2015 2108/2015</t>
  </si>
  <si>
    <t>15/08/2015 → 21/08/2015</t>
  </si>
  <si>
    <t>227.916 .00</t>
  </si>
  <si>
    <t>Số tiền gốc ghi "227.916 .00" (dấu chấm bất thường) → hiểu là 227,916.00, cần xác nhận</t>
  </si>
  <si>
    <t>25/04/2014 28/04/2015</t>
  </si>
  <si>
    <t>25/04/2014 → 28/04/2015 (369 ngày)</t>
  </si>
  <si>
    <t>11/04/2013- 28/02/2015</t>
  </si>
  <si>
    <t>11/04/2013 → 28/02/2015 (689 ngày)</t>
  </si>
  <si>
    <t>09/01/12 30/03/13</t>
  </si>
  <si>
    <t>09/01/2012 → 30/03/2013 (447 ngày)</t>
  </si>
  <si>
    <t>02/2011 02/2012</t>
  </si>
  <si>
    <t>01/02/2011 → 29/02/2012 (394 ngày)</t>
  </si>
  <si>
    <t>01/2011 01/2012</t>
  </si>
  <si>
    <t>01/01/2011 → 31/01/2012 (396 ngày)</t>
  </si>
  <si>
    <t>02/2009 02/2011</t>
  </si>
  <si>
    <t>01/02/2009 → 28/02/2011 (758 ngày)</t>
  </si>
  <si>
    <t>07/2010 09/2011</t>
  </si>
  <si>
    <t>01/07/2010 → 30/09/2011 (457 ngày)</t>
  </si>
  <si>
    <t>01/2008 12/2008</t>
  </si>
  <si>
    <t>01/01/2008 → 31/12/2008 (366 ngày)</t>
  </si>
  <si>
    <t>(trống)</t>
  </si>
  <si>
    <t>Cần bổ sung</t>
  </si>
  <si>
    <t>QUY TẮC XỬ LÝ</t>
  </si>
  <si>
    <t>Nguồn</t>
  </si>
  <si>
    <t>File gốc 2026_06_15 - PGS ROV's Track record-Full.xlsx, sheet "Track Record" (319 dự án, dòng 6–324). File gốc được giữ nguyên, không bị sửa.</t>
  </si>
  <si>
    <t>Tách thời gian</t>
  </si>
  <si>
    <t>Cột "TIME/ DURATION" tách thành START DATE, END DATE (kiểu ngày dd/mm/yyyy) và DURATION (DAYS) = END DATE − START DATE + 1 (công thức Excel, tự cập nhật).</t>
  </si>
  <si>
    <t>Ngày chỉ có tháng/năm</t>
  </si>
  <si>
    <t>46 dòng gốc chỉ ghi tháng/năm (VD 05/2010) → quy ước START = ngày 1 của tháng đầu, END = ngày cuối của tháng cuối. Lọc cột DATE STATUS = "Chỉ có tháng/năm" để xem.</t>
  </si>
  <si>
    <t>Năm 2 chữ số</t>
  </si>
  <si>
    <t>VD 12/10/12 → 12/10/2012; ngày/tháng 1 chữ số (4/5/2025) → chuẩn hóa thành ngày đầy đủ.</t>
  </si>
  <si>
    <t>Các dòng ghi "On going" hoặc "…./11/2026" → END DATE và DURATION để trống (DATE STATUS = "Đang thực hiện").</t>
  </si>
  <si>
    <t>Nhiều đợt</t>
  </si>
  <si>
    <t>Dòng 167 gốc có 2 đợt (21/08–31/08/2015 và 04/09–23/09/2015) → lấy ngày đầu đợt 1 và ngày cuối đợt 2, theo đúng công thức yêu cầu.</t>
  </si>
  <si>
    <t>Số thứ tự (NO.)</t>
  </si>
  <si>
    <t>Các ô NO. gốc là công thức =A+1 được chuyển thành giá trị số cố định (319 → 1).</t>
  </si>
  <si>
    <t>Văn bản</t>
  </si>
  <si>
    <t>Cắt khoảng trắng thừa, bỏ xuống dòng trong ô (đưa về 1 dòng), bỏ gạch đầu dòng "- " ở SOW và nối các mục bằng dấu ";", sửa vài lỗi chính tả rõ ràng (replacemnet, Maintennance, Pre-installtion, từ bị ngắt "Superin-tendent"…).</t>
  </si>
  <si>
    <t>Người liên hệ</t>
  </si>
  <si>
    <t>Cột CLIENT CONTACT POINT tách thành CONTACT PERSON (họ tên – chức danh) và CONTACT PHONE (lưu dạng văn bản để giữ số 0 đầu). Bỏ dòng tiêu đề "… Contact Point".</t>
  </si>
  <si>
    <t>Chuyển về số (USD). Công thức gốc (=510073, =130000000000/22270…) → giá trị số; "N/A"/"TBA" → để trống; ghi chú "(ROV and Diving services only)" chuyển sang cột CLEANING NOTE. Tổng 5 dòng không có chi phí.</t>
  </si>
  <si>
    <t>Độ sâu nước</t>
  </si>
  <si>
    <t>Tách thành MIN và MAX (số). Khoảng "50-60" → 50 / 60; "45m" → 45 / 45; ô không phải số → để trống.</t>
  </si>
  <si>
    <t>ROV / Vessel / Role</t>
  </si>
  <si>
    <t>Chuẩn hóa: "ROV ROV Quasar…" → "ROV Quasar…", "Panther Plus 911" → "ROV Panther Plus 911", "Sub Contractor" → "Subcontractor", "N/A" → trống; bỏ khoảng trắng thừa.</t>
  </si>
  <si>
    <t>Code / Category</t>
  </si>
  <si>
    <t>Code 1–4 giữ nguyên, thêm cột CATEGORY theo bảng quy ước gốc (1 In-water survey, 2 UWILD, 3 Drilling support, 4 Others). 95 dòng gốc chưa có Code → để trống (không tự suy đoán).</t>
  </si>
  <si>
    <t>Ô tô màu vàng</t>
  </si>
  <si>
    <t>Các ô START/END tô vàng là ô đã sửa lỗi gõ – cần bạn xác nhận (xem sheet "Needs Review").</t>
  </si>
  <si>
    <t>Chưa thay đổi</t>
  </si>
  <si>
    <t>Tên CLIENT chưa gộp biến thể (VD "CLJOC" vs "CLJOC (Conoco Philips)", "PVEP POC/ TOS") vì cần danh mục khách hàng của phần mềm để ánh xạ chính xác.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</si>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</sst>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9933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/>
    </xf>
    <xf numFmtId="1" fontId="2" fillId="0" borderId="2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2" fillId="3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5" sqref="D5"/>
    </sheetView>
  </sheetViews>
  <sheetFormatPr defaultColWidth="8.7109375" defaultRowHeight="15" x14ac:dyDescent="0.25"/>
  <cols>
    <col min="1" max="1" width="7" customWidth="1"/>
    <col min="2" max="2" width="16" customWidth="1"/>
    <col min="3" max="3" width="30" customWidth="1"/>
    <col min="4" max="4" width="34" customWidth="1"/>
    <col min="5" max="6" width="12" customWidth="1"/>
    <col min="7" max="7" width="11" customWidth="1"/>
    <col min="8" max="8" width="34" customWidth="1"/>
    <col min="9" max="9" width="18" customWidth="1"/>
    <col min="10" max="10" width="50" customWidth="1"/>
    <col min="11" max="11" width="26" customWidth="1"/>
    <col min="12" max="12" width="16" customWidth="1"/>
    <col min="13" max="13" width="11" customWidth="1"/>
    <col min="14" max="14" width="15" customWidth="1"/>
    <col min="15" max="15" width="28" customWidth="1"/>
    <col min="16" max="16" width="24" customWidth="1"/>
    <col min="17" max="17" width="13.7109375" customWidth="1"/>
  </cols>
  <sheetData>
    <row r="1" spans="1:17" ht="31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1402</v>
      </c>
    </row>
    <row r="2" spans="1:17" ht="25.5" x14ac:dyDescent="0.25">
      <c r="A2" s="8">
        <v>319</v>
      </c>
      <c r="B2" s="8" t="s">
        <v>16</v>
      </c>
      <c r="C2" s="9" t="s">
        <v>17</v>
      </c>
      <c r="D2" s="9" t="s">
        <v>18</v>
      </c>
      <c r="E2" s="10">
        <v>46294</v>
      </c>
      <c r="F2" s="10"/>
      <c r="G2" s="11" t="str">
        <f t="shared" ref="G2:G65" si="0">IF(AND(ISNUMBER(E2),ISNUMBER(F2)),F2-E2+1,"")</f>
        <v/>
      </c>
      <c r="H2" s="9" t="s">
        <v>20</v>
      </c>
      <c r="I2" s="12"/>
      <c r="J2" s="9" t="s">
        <v>21</v>
      </c>
      <c r="K2" s="9" t="s">
        <v>22</v>
      </c>
      <c r="L2" s="13"/>
      <c r="M2" s="8">
        <v>55</v>
      </c>
      <c r="N2" s="8">
        <v>55</v>
      </c>
      <c r="O2" s="9" t="s">
        <v>23</v>
      </c>
      <c r="P2" s="9" t="s">
        <v>24</v>
      </c>
      <c r="Q2" s="6"/>
    </row>
    <row r="3" spans="1:17" ht="38.25" x14ac:dyDescent="0.25">
      <c r="A3" s="8">
        <v>318</v>
      </c>
      <c r="B3" s="8" t="s">
        <v>25</v>
      </c>
      <c r="C3" s="9" t="s">
        <v>26</v>
      </c>
      <c r="D3" s="9" t="s">
        <v>27</v>
      </c>
      <c r="E3" s="10">
        <v>46295</v>
      </c>
      <c r="F3" s="10"/>
      <c r="G3" s="11" t="str">
        <f t="shared" si="0"/>
        <v/>
      </c>
      <c r="H3" s="9" t="s">
        <v>28</v>
      </c>
      <c r="I3" s="12"/>
      <c r="J3" s="9" t="s">
        <v>29</v>
      </c>
      <c r="K3" s="9" t="s">
        <v>30</v>
      </c>
      <c r="L3" s="13"/>
      <c r="M3" s="8">
        <v>50</v>
      </c>
      <c r="N3" s="8">
        <v>120</v>
      </c>
      <c r="O3" s="9" t="s">
        <v>31</v>
      </c>
      <c r="P3" s="9" t="s">
        <v>32</v>
      </c>
      <c r="Q3" s="6"/>
    </row>
    <row r="4" spans="1:17" ht="25.5" x14ac:dyDescent="0.25">
      <c r="A4" s="8">
        <v>317</v>
      </c>
      <c r="B4" s="8" t="s">
        <v>33</v>
      </c>
      <c r="C4" s="9" t="s">
        <v>34</v>
      </c>
      <c r="D4" s="9" t="s">
        <v>35</v>
      </c>
      <c r="E4" s="10">
        <v>46275</v>
      </c>
      <c r="F4" s="10">
        <v>46295</v>
      </c>
      <c r="G4" s="11">
        <f t="shared" si="0"/>
        <v>21</v>
      </c>
      <c r="H4" s="9" t="s">
        <v>36</v>
      </c>
      <c r="I4" s="12" t="s">
        <v>37</v>
      </c>
      <c r="J4" s="9" t="s">
        <v>38</v>
      </c>
      <c r="K4" s="9" t="s">
        <v>39</v>
      </c>
      <c r="L4" s="13"/>
      <c r="M4" s="8">
        <v>60</v>
      </c>
      <c r="N4" s="8">
        <v>60</v>
      </c>
      <c r="O4" s="9" t="s">
        <v>31</v>
      </c>
      <c r="P4" s="9" t="s">
        <v>32</v>
      </c>
      <c r="Q4" s="6"/>
    </row>
    <row r="5" spans="1:17" ht="38.25" x14ac:dyDescent="0.25">
      <c r="A5" s="8">
        <v>316</v>
      </c>
      <c r="B5" s="8" t="s">
        <v>40</v>
      </c>
      <c r="C5" s="9" t="s">
        <v>41</v>
      </c>
      <c r="D5" s="9" t="s">
        <v>42</v>
      </c>
      <c r="E5" s="10">
        <v>46262</v>
      </c>
      <c r="F5" s="10">
        <v>46282</v>
      </c>
      <c r="G5" s="11">
        <f t="shared" si="0"/>
        <v>21</v>
      </c>
      <c r="H5" s="9" t="s">
        <v>43</v>
      </c>
      <c r="I5" s="12" t="s">
        <v>44</v>
      </c>
      <c r="J5" s="9" t="s">
        <v>45</v>
      </c>
      <c r="K5" s="9" t="s">
        <v>46</v>
      </c>
      <c r="L5" s="13">
        <v>1378842</v>
      </c>
      <c r="M5" s="8">
        <v>110</v>
      </c>
      <c r="N5" s="8">
        <v>110</v>
      </c>
      <c r="O5" s="9" t="s">
        <v>47</v>
      </c>
      <c r="P5" s="9" t="s">
        <v>48</v>
      </c>
      <c r="Q5" s="6"/>
    </row>
    <row r="6" spans="1:17" ht="25.5" x14ac:dyDescent="0.25">
      <c r="A6" s="8">
        <v>315</v>
      </c>
      <c r="B6" s="8" t="s">
        <v>40</v>
      </c>
      <c r="C6" s="9" t="s">
        <v>49</v>
      </c>
      <c r="D6" s="9" t="s">
        <v>50</v>
      </c>
      <c r="E6" s="10">
        <v>46254</v>
      </c>
      <c r="F6" s="10">
        <v>46273</v>
      </c>
      <c r="G6" s="11">
        <f t="shared" si="0"/>
        <v>20</v>
      </c>
      <c r="H6" s="9" t="s">
        <v>51</v>
      </c>
      <c r="I6" s="12" t="s">
        <v>52</v>
      </c>
      <c r="J6" s="9" t="s">
        <v>53</v>
      </c>
      <c r="K6" s="9" t="s">
        <v>54</v>
      </c>
      <c r="L6" s="13">
        <v>289900</v>
      </c>
      <c r="M6" s="8">
        <v>107</v>
      </c>
      <c r="N6" s="8">
        <v>107</v>
      </c>
      <c r="O6" s="9" t="s">
        <v>31</v>
      </c>
      <c r="P6" s="9" t="s">
        <v>55</v>
      </c>
      <c r="Q6" s="6"/>
    </row>
    <row r="7" spans="1:17" ht="25.5" x14ac:dyDescent="0.25">
      <c r="A7" s="8">
        <v>314</v>
      </c>
      <c r="B7" s="8" t="s">
        <v>56</v>
      </c>
      <c r="C7" s="9" t="s">
        <v>57</v>
      </c>
      <c r="D7" s="9" t="s">
        <v>58</v>
      </c>
      <c r="E7" s="10">
        <v>46239</v>
      </c>
      <c r="F7" s="10">
        <v>46254</v>
      </c>
      <c r="G7" s="11">
        <f t="shared" si="0"/>
        <v>16</v>
      </c>
      <c r="H7" s="9" t="s">
        <v>59</v>
      </c>
      <c r="I7" s="12" t="s">
        <v>60</v>
      </c>
      <c r="J7" s="9" t="s">
        <v>61</v>
      </c>
      <c r="K7" s="9" t="s">
        <v>62</v>
      </c>
      <c r="L7" s="13">
        <v>172323</v>
      </c>
      <c r="M7" s="8">
        <v>55</v>
      </c>
      <c r="N7" s="8">
        <v>55</v>
      </c>
      <c r="O7" s="9" t="s">
        <v>47</v>
      </c>
      <c r="P7" s="9" t="s">
        <v>63</v>
      </c>
      <c r="Q7" s="6"/>
    </row>
    <row r="8" spans="1:17" ht="38.25" x14ac:dyDescent="0.25">
      <c r="A8" s="8">
        <v>313</v>
      </c>
      <c r="B8" s="8" t="s">
        <v>64</v>
      </c>
      <c r="C8" s="9" t="s">
        <v>65</v>
      </c>
      <c r="D8" s="9" t="s">
        <v>66</v>
      </c>
      <c r="E8" s="10">
        <v>46195</v>
      </c>
      <c r="F8" s="10">
        <v>46222</v>
      </c>
      <c r="G8" s="11">
        <f t="shared" si="0"/>
        <v>28</v>
      </c>
      <c r="H8" s="9" t="s">
        <v>67</v>
      </c>
      <c r="I8" s="12" t="s">
        <v>68</v>
      </c>
      <c r="J8" s="9" t="s">
        <v>69</v>
      </c>
      <c r="K8" s="9" t="s">
        <v>70</v>
      </c>
      <c r="L8" s="13">
        <v>1140925</v>
      </c>
      <c r="M8" s="8">
        <v>100</v>
      </c>
      <c r="N8" s="8">
        <v>100</v>
      </c>
      <c r="O8" s="9" t="s">
        <v>47</v>
      </c>
      <c r="P8" s="9" t="s">
        <v>71</v>
      </c>
      <c r="Q8" s="6"/>
    </row>
    <row r="9" spans="1:17" ht="25.5" x14ac:dyDescent="0.25">
      <c r="A9" s="8">
        <v>312</v>
      </c>
      <c r="B9" s="8" t="s">
        <v>56</v>
      </c>
      <c r="C9" s="9" t="s">
        <v>72</v>
      </c>
      <c r="D9" s="9" t="s">
        <v>58</v>
      </c>
      <c r="E9" s="10">
        <v>46197</v>
      </c>
      <c r="F9" s="10">
        <v>46242</v>
      </c>
      <c r="G9" s="11">
        <f t="shared" si="0"/>
        <v>46</v>
      </c>
      <c r="H9" s="9" t="s">
        <v>59</v>
      </c>
      <c r="I9" s="12" t="s">
        <v>60</v>
      </c>
      <c r="J9" s="9" t="s">
        <v>61</v>
      </c>
      <c r="K9" s="9" t="s">
        <v>62</v>
      </c>
      <c r="L9" s="13">
        <v>990241.76</v>
      </c>
      <c r="M9" s="8">
        <v>55</v>
      </c>
      <c r="N9" s="8">
        <v>55</v>
      </c>
      <c r="O9" s="9" t="s">
        <v>31</v>
      </c>
      <c r="P9" s="9" t="s">
        <v>63</v>
      </c>
      <c r="Q9" s="6"/>
    </row>
    <row r="10" spans="1:17" ht="25.5" x14ac:dyDescent="0.25">
      <c r="A10" s="8">
        <v>311</v>
      </c>
      <c r="B10" s="8" t="s">
        <v>73</v>
      </c>
      <c r="C10" s="9" t="s">
        <v>74</v>
      </c>
      <c r="D10" s="9" t="s">
        <v>75</v>
      </c>
      <c r="E10" s="10">
        <v>46187</v>
      </c>
      <c r="F10" s="10">
        <v>46193</v>
      </c>
      <c r="G10" s="11">
        <f t="shared" si="0"/>
        <v>7</v>
      </c>
      <c r="H10" s="9" t="s">
        <v>76</v>
      </c>
      <c r="I10" s="12" t="s">
        <v>77</v>
      </c>
      <c r="J10" s="9" t="s">
        <v>75</v>
      </c>
      <c r="K10" s="9" t="s">
        <v>78</v>
      </c>
      <c r="L10" s="13">
        <v>510073</v>
      </c>
      <c r="M10" s="8">
        <v>120</v>
      </c>
      <c r="N10" s="8">
        <v>120</v>
      </c>
      <c r="O10" s="9" t="s">
        <v>47</v>
      </c>
      <c r="P10" s="9" t="s">
        <v>63</v>
      </c>
      <c r="Q10" s="6"/>
    </row>
    <row r="11" spans="1:17" ht="25.5" x14ac:dyDescent="0.25">
      <c r="A11" s="8">
        <v>310</v>
      </c>
      <c r="B11" s="8" t="s">
        <v>79</v>
      </c>
      <c r="C11" s="9" t="s">
        <v>80</v>
      </c>
      <c r="D11" s="9" t="s">
        <v>81</v>
      </c>
      <c r="E11" s="10">
        <v>46166</v>
      </c>
      <c r="F11" s="10">
        <v>46187</v>
      </c>
      <c r="G11" s="11">
        <f t="shared" si="0"/>
        <v>22</v>
      </c>
      <c r="H11" s="9" t="s">
        <v>82</v>
      </c>
      <c r="I11" s="12" t="s">
        <v>83</v>
      </c>
      <c r="J11" s="9" t="s">
        <v>84</v>
      </c>
      <c r="K11" s="9" t="s">
        <v>85</v>
      </c>
      <c r="L11" s="13">
        <v>1572631</v>
      </c>
      <c r="M11" s="8">
        <v>113</v>
      </c>
      <c r="N11" s="8">
        <v>113</v>
      </c>
      <c r="O11" s="9" t="s">
        <v>47</v>
      </c>
      <c r="P11" s="9" t="s">
        <v>63</v>
      </c>
      <c r="Q11" s="6"/>
    </row>
    <row r="12" spans="1:17" ht="25.5" x14ac:dyDescent="0.25">
      <c r="A12" s="8">
        <v>309</v>
      </c>
      <c r="B12" s="8" t="s">
        <v>86</v>
      </c>
      <c r="C12" s="9" t="s">
        <v>87</v>
      </c>
      <c r="D12" s="9" t="s">
        <v>88</v>
      </c>
      <c r="E12" s="10">
        <v>46147</v>
      </c>
      <c r="F12" s="10">
        <v>46166</v>
      </c>
      <c r="G12" s="11">
        <f t="shared" si="0"/>
        <v>20</v>
      </c>
      <c r="H12" s="9" t="s">
        <v>89</v>
      </c>
      <c r="I12" s="12" t="s">
        <v>90</v>
      </c>
      <c r="J12" s="9" t="s">
        <v>91</v>
      </c>
      <c r="K12" s="9" t="s">
        <v>92</v>
      </c>
      <c r="L12" s="13">
        <v>220243</v>
      </c>
      <c r="M12" s="8">
        <v>50</v>
      </c>
      <c r="N12" s="8">
        <v>50</v>
      </c>
      <c r="O12" s="9" t="s">
        <v>47</v>
      </c>
      <c r="P12" s="9" t="s">
        <v>93</v>
      </c>
      <c r="Q12" s="6"/>
    </row>
    <row r="13" spans="1:17" ht="38.25" x14ac:dyDescent="0.25">
      <c r="A13" s="8">
        <v>308</v>
      </c>
      <c r="B13" s="8" t="s">
        <v>56</v>
      </c>
      <c r="C13" s="9" t="s">
        <v>57</v>
      </c>
      <c r="D13" s="9" t="s">
        <v>58</v>
      </c>
      <c r="E13" s="10">
        <v>46143</v>
      </c>
      <c r="F13" s="10">
        <v>46196</v>
      </c>
      <c r="G13" s="11">
        <f t="shared" si="0"/>
        <v>54</v>
      </c>
      <c r="H13" s="9" t="s">
        <v>59</v>
      </c>
      <c r="I13" s="12" t="s">
        <v>60</v>
      </c>
      <c r="J13" s="9" t="s">
        <v>94</v>
      </c>
      <c r="K13" s="9" t="s">
        <v>62</v>
      </c>
      <c r="L13" s="13">
        <v>593040</v>
      </c>
      <c r="M13" s="8">
        <v>55</v>
      </c>
      <c r="N13" s="8">
        <v>55</v>
      </c>
      <c r="O13" s="9" t="s">
        <v>31</v>
      </c>
      <c r="P13" s="9" t="s">
        <v>95</v>
      </c>
      <c r="Q13" s="6"/>
    </row>
    <row r="14" spans="1:17" ht="25.5" x14ac:dyDescent="0.25">
      <c r="A14" s="8">
        <v>307</v>
      </c>
      <c r="B14" s="8" t="s">
        <v>73</v>
      </c>
      <c r="C14" s="9" t="s">
        <v>96</v>
      </c>
      <c r="D14" s="9" t="s">
        <v>97</v>
      </c>
      <c r="E14" s="10">
        <v>46120</v>
      </c>
      <c r="F14" s="10">
        <v>46144</v>
      </c>
      <c r="G14" s="11">
        <f t="shared" si="0"/>
        <v>25</v>
      </c>
      <c r="H14" s="9" t="s">
        <v>76</v>
      </c>
      <c r="I14" s="12" t="s">
        <v>77</v>
      </c>
      <c r="J14" s="9" t="s">
        <v>91</v>
      </c>
      <c r="K14" s="9" t="s">
        <v>98</v>
      </c>
      <c r="L14" s="13">
        <v>1766183</v>
      </c>
      <c r="M14" s="8">
        <v>80</v>
      </c>
      <c r="N14" s="8">
        <v>120</v>
      </c>
      <c r="O14" s="9" t="s">
        <v>31</v>
      </c>
      <c r="P14" s="9" t="s">
        <v>99</v>
      </c>
      <c r="Q14" s="6"/>
    </row>
    <row r="15" spans="1:17" ht="25.5" x14ac:dyDescent="0.25">
      <c r="A15" s="8">
        <v>306</v>
      </c>
      <c r="B15" s="8" t="s">
        <v>100</v>
      </c>
      <c r="C15" s="9" t="s">
        <v>101</v>
      </c>
      <c r="D15" s="9" t="s">
        <v>102</v>
      </c>
      <c r="E15" s="10">
        <v>46023</v>
      </c>
      <c r="F15" s="10"/>
      <c r="G15" s="11" t="str">
        <f t="shared" si="0"/>
        <v/>
      </c>
      <c r="H15" s="9" t="s">
        <v>103</v>
      </c>
      <c r="I15" s="12" t="s">
        <v>104</v>
      </c>
      <c r="J15" s="9" t="s">
        <v>105</v>
      </c>
      <c r="K15" s="9" t="s">
        <v>106</v>
      </c>
      <c r="L15" s="13"/>
      <c r="M15" s="8">
        <v>20</v>
      </c>
      <c r="N15" s="8">
        <v>50</v>
      </c>
      <c r="O15" s="9" t="s">
        <v>107</v>
      </c>
      <c r="P15" s="9" t="s">
        <v>108</v>
      </c>
      <c r="Q15" s="6"/>
    </row>
    <row r="16" spans="1:17" ht="25.5" x14ac:dyDescent="0.25">
      <c r="A16" s="8">
        <v>305</v>
      </c>
      <c r="B16" s="8" t="s">
        <v>100</v>
      </c>
      <c r="C16" s="9" t="s">
        <v>101</v>
      </c>
      <c r="D16" s="9" t="s">
        <v>102</v>
      </c>
      <c r="E16" s="10">
        <v>46023</v>
      </c>
      <c r="F16" s="10"/>
      <c r="G16" s="11" t="str">
        <f t="shared" si="0"/>
        <v/>
      </c>
      <c r="H16" s="9" t="s">
        <v>103</v>
      </c>
      <c r="I16" s="12" t="s">
        <v>104</v>
      </c>
      <c r="J16" s="9" t="s">
        <v>105</v>
      </c>
      <c r="K16" s="9" t="s">
        <v>109</v>
      </c>
      <c r="L16" s="13"/>
      <c r="M16" s="8">
        <v>20</v>
      </c>
      <c r="N16" s="8">
        <v>50</v>
      </c>
      <c r="O16" s="9" t="s">
        <v>110</v>
      </c>
      <c r="P16" s="9" t="s">
        <v>111</v>
      </c>
      <c r="Q16" s="6"/>
    </row>
    <row r="17" spans="1:17" ht="25.5" x14ac:dyDescent="0.25">
      <c r="A17" s="8">
        <v>304</v>
      </c>
      <c r="B17" s="8" t="s">
        <v>112</v>
      </c>
      <c r="C17" s="9" t="s">
        <v>113</v>
      </c>
      <c r="D17" s="9" t="s">
        <v>114</v>
      </c>
      <c r="E17" s="10">
        <v>45938</v>
      </c>
      <c r="F17" s="10">
        <v>45954</v>
      </c>
      <c r="G17" s="11">
        <f t="shared" si="0"/>
        <v>17</v>
      </c>
      <c r="H17" s="9" t="s">
        <v>115</v>
      </c>
      <c r="I17" s="12" t="s">
        <v>116</v>
      </c>
      <c r="J17" s="9" t="s">
        <v>117</v>
      </c>
      <c r="K17" s="9" t="s">
        <v>78</v>
      </c>
      <c r="L17" s="13">
        <v>848808</v>
      </c>
      <c r="M17" s="8">
        <v>120</v>
      </c>
      <c r="N17" s="8">
        <v>120</v>
      </c>
      <c r="O17" s="9" t="s">
        <v>31</v>
      </c>
      <c r="P17" s="9" t="s">
        <v>118</v>
      </c>
      <c r="Q17" s="6"/>
    </row>
    <row r="18" spans="1:17" ht="25.5" x14ac:dyDescent="0.25">
      <c r="A18" s="8">
        <v>303</v>
      </c>
      <c r="B18" s="8" t="s">
        <v>79</v>
      </c>
      <c r="C18" s="9" t="s">
        <v>80</v>
      </c>
      <c r="D18" s="9" t="s">
        <v>119</v>
      </c>
      <c r="E18" s="10">
        <v>45918</v>
      </c>
      <c r="F18" s="10">
        <v>45925</v>
      </c>
      <c r="G18" s="11">
        <f t="shared" si="0"/>
        <v>8</v>
      </c>
      <c r="H18" s="9" t="s">
        <v>82</v>
      </c>
      <c r="I18" s="12" t="s">
        <v>83</v>
      </c>
      <c r="J18" s="9" t="s">
        <v>120</v>
      </c>
      <c r="K18" s="9" t="s">
        <v>85</v>
      </c>
      <c r="L18" s="13">
        <v>438430</v>
      </c>
      <c r="M18" s="8">
        <v>113</v>
      </c>
      <c r="N18" s="8">
        <v>113</v>
      </c>
      <c r="O18" s="9" t="s">
        <v>31</v>
      </c>
      <c r="P18" s="9" t="s">
        <v>121</v>
      </c>
      <c r="Q18" s="6"/>
    </row>
    <row r="19" spans="1:17" ht="25.5" x14ac:dyDescent="0.25">
      <c r="A19" s="8">
        <v>302</v>
      </c>
      <c r="B19" s="8" t="s">
        <v>122</v>
      </c>
      <c r="C19" s="9" t="s">
        <v>123</v>
      </c>
      <c r="D19" s="9" t="s">
        <v>124</v>
      </c>
      <c r="E19" s="10">
        <v>45881</v>
      </c>
      <c r="F19" s="10">
        <v>45940</v>
      </c>
      <c r="G19" s="11">
        <f t="shared" si="0"/>
        <v>60</v>
      </c>
      <c r="H19" s="9" t="s">
        <v>125</v>
      </c>
      <c r="I19" s="12" t="s">
        <v>126</v>
      </c>
      <c r="J19" s="9" t="s">
        <v>127</v>
      </c>
      <c r="K19" s="9" t="s">
        <v>128</v>
      </c>
      <c r="L19" s="13">
        <v>453160</v>
      </c>
      <c r="M19" s="8">
        <v>55</v>
      </c>
      <c r="N19" s="8">
        <v>55</v>
      </c>
      <c r="O19" s="9" t="s">
        <v>47</v>
      </c>
      <c r="P19" s="9" t="s">
        <v>95</v>
      </c>
      <c r="Q19" s="6"/>
    </row>
    <row r="20" spans="1:17" ht="25.5" x14ac:dyDescent="0.25">
      <c r="A20" s="8">
        <v>301</v>
      </c>
      <c r="B20" s="8" t="s">
        <v>79</v>
      </c>
      <c r="C20" s="9" t="s">
        <v>80</v>
      </c>
      <c r="D20" s="9" t="s">
        <v>129</v>
      </c>
      <c r="E20" s="10">
        <v>45886</v>
      </c>
      <c r="F20" s="10">
        <v>45905</v>
      </c>
      <c r="G20" s="11">
        <f t="shared" si="0"/>
        <v>20</v>
      </c>
      <c r="H20" s="9" t="s">
        <v>82</v>
      </c>
      <c r="I20" s="12" t="s">
        <v>83</v>
      </c>
      <c r="J20" s="9" t="s">
        <v>130</v>
      </c>
      <c r="K20" s="9" t="s">
        <v>85</v>
      </c>
      <c r="L20" s="13">
        <v>459360</v>
      </c>
      <c r="M20" s="8">
        <v>113</v>
      </c>
      <c r="N20" s="8">
        <v>113</v>
      </c>
      <c r="O20" s="9" t="s">
        <v>31</v>
      </c>
      <c r="P20" s="9" t="s">
        <v>131</v>
      </c>
      <c r="Q20" s="6"/>
    </row>
    <row r="21" spans="1:17" ht="25.5" x14ac:dyDescent="0.25">
      <c r="A21" s="8">
        <v>300</v>
      </c>
      <c r="B21" s="8" t="s">
        <v>122</v>
      </c>
      <c r="C21" s="9" t="s">
        <v>132</v>
      </c>
      <c r="D21" s="9" t="s">
        <v>133</v>
      </c>
      <c r="E21" s="10">
        <v>45826</v>
      </c>
      <c r="F21" s="10">
        <v>45848</v>
      </c>
      <c r="G21" s="11">
        <f t="shared" si="0"/>
        <v>23</v>
      </c>
      <c r="H21" s="9" t="s">
        <v>125</v>
      </c>
      <c r="I21" s="12" t="s">
        <v>126</v>
      </c>
      <c r="J21" s="9" t="s">
        <v>134</v>
      </c>
      <c r="K21" s="9" t="s">
        <v>135</v>
      </c>
      <c r="L21" s="13">
        <v>81458</v>
      </c>
      <c r="M21" s="8">
        <v>80</v>
      </c>
      <c r="N21" s="8">
        <v>100</v>
      </c>
      <c r="O21" s="9"/>
      <c r="P21" s="9" t="s">
        <v>99</v>
      </c>
      <c r="Q21" s="6"/>
    </row>
    <row r="22" spans="1:17" ht="25.5" x14ac:dyDescent="0.25">
      <c r="A22" s="8">
        <v>299</v>
      </c>
      <c r="B22" s="8" t="s">
        <v>136</v>
      </c>
      <c r="C22" s="9" t="s">
        <v>137</v>
      </c>
      <c r="D22" s="9" t="s">
        <v>138</v>
      </c>
      <c r="E22" s="10">
        <v>45823</v>
      </c>
      <c r="F22" s="10">
        <v>45863</v>
      </c>
      <c r="G22" s="11">
        <f t="shared" si="0"/>
        <v>41</v>
      </c>
      <c r="H22" s="9" t="s">
        <v>139</v>
      </c>
      <c r="I22" s="12" t="s">
        <v>140</v>
      </c>
      <c r="J22" s="9" t="s">
        <v>141</v>
      </c>
      <c r="K22" s="9" t="s">
        <v>142</v>
      </c>
      <c r="L22" s="13">
        <v>2097000</v>
      </c>
      <c r="M22" s="8">
        <v>60</v>
      </c>
      <c r="N22" s="8">
        <v>60</v>
      </c>
      <c r="O22" s="9" t="s">
        <v>47</v>
      </c>
      <c r="P22" s="9" t="s">
        <v>143</v>
      </c>
      <c r="Q22" s="6"/>
    </row>
    <row r="23" spans="1:17" ht="25.5" x14ac:dyDescent="0.25">
      <c r="A23" s="8">
        <v>298</v>
      </c>
      <c r="B23" s="8" t="s">
        <v>144</v>
      </c>
      <c r="C23" s="9" t="s">
        <v>145</v>
      </c>
      <c r="D23" s="9" t="s">
        <v>146</v>
      </c>
      <c r="E23" s="10">
        <v>45797</v>
      </c>
      <c r="F23" s="10">
        <v>45815</v>
      </c>
      <c r="G23" s="11">
        <f t="shared" si="0"/>
        <v>19</v>
      </c>
      <c r="H23" s="9" t="s">
        <v>115</v>
      </c>
      <c r="I23" s="12" t="s">
        <v>116</v>
      </c>
      <c r="J23" s="9" t="s">
        <v>147</v>
      </c>
      <c r="K23" s="9" t="s">
        <v>148</v>
      </c>
      <c r="L23" s="13">
        <v>812292</v>
      </c>
      <c r="M23" s="8">
        <v>120</v>
      </c>
      <c r="N23" s="8">
        <v>120</v>
      </c>
      <c r="O23" s="9" t="s">
        <v>47</v>
      </c>
      <c r="P23" s="9" t="s">
        <v>149</v>
      </c>
      <c r="Q23" s="6"/>
    </row>
    <row r="24" spans="1:17" ht="25.5" x14ac:dyDescent="0.25">
      <c r="A24" s="8">
        <v>297</v>
      </c>
      <c r="B24" s="8" t="s">
        <v>73</v>
      </c>
      <c r="C24" s="9" t="s">
        <v>150</v>
      </c>
      <c r="D24" s="9" t="s">
        <v>151</v>
      </c>
      <c r="E24" s="10">
        <v>45781</v>
      </c>
      <c r="F24" s="10">
        <v>45796</v>
      </c>
      <c r="G24" s="11">
        <f t="shared" si="0"/>
        <v>16</v>
      </c>
      <c r="H24" s="9" t="s">
        <v>76</v>
      </c>
      <c r="I24" s="12" t="s">
        <v>77</v>
      </c>
      <c r="J24" s="9" t="s">
        <v>91</v>
      </c>
      <c r="K24" s="9" t="s">
        <v>85</v>
      </c>
      <c r="L24" s="13">
        <v>935278</v>
      </c>
      <c r="M24" s="8">
        <v>120</v>
      </c>
      <c r="N24" s="8">
        <v>120</v>
      </c>
      <c r="O24" s="9" t="s">
        <v>31</v>
      </c>
      <c r="P24" s="9" t="s">
        <v>152</v>
      </c>
      <c r="Q24" s="6"/>
    </row>
    <row r="25" spans="1:17" ht="25.5" x14ac:dyDescent="0.25">
      <c r="A25" s="8">
        <v>296</v>
      </c>
      <c r="B25" s="8" t="s">
        <v>122</v>
      </c>
      <c r="C25" s="9" t="s">
        <v>153</v>
      </c>
      <c r="D25" s="9" t="s">
        <v>133</v>
      </c>
      <c r="E25" s="10">
        <v>45749</v>
      </c>
      <c r="F25" s="10">
        <v>45773</v>
      </c>
      <c r="G25" s="11">
        <f t="shared" si="0"/>
        <v>25</v>
      </c>
      <c r="H25" s="9" t="s">
        <v>125</v>
      </c>
      <c r="I25" s="12" t="s">
        <v>126</v>
      </c>
      <c r="J25" s="9" t="s">
        <v>134</v>
      </c>
      <c r="K25" s="9" t="s">
        <v>154</v>
      </c>
      <c r="L25" s="13">
        <v>131678</v>
      </c>
      <c r="M25" s="8">
        <v>50</v>
      </c>
      <c r="N25" s="8">
        <v>50</v>
      </c>
      <c r="O25" s="9"/>
      <c r="P25" s="9" t="s">
        <v>24</v>
      </c>
      <c r="Q25" s="6"/>
    </row>
    <row r="26" spans="1:17" ht="25.5" x14ac:dyDescent="0.25">
      <c r="A26" s="8">
        <v>295</v>
      </c>
      <c r="B26" s="8" t="s">
        <v>155</v>
      </c>
      <c r="C26" s="9" t="s">
        <v>156</v>
      </c>
      <c r="D26" s="9" t="s">
        <v>157</v>
      </c>
      <c r="E26" s="10">
        <v>45741</v>
      </c>
      <c r="F26" s="10">
        <v>45769</v>
      </c>
      <c r="G26" s="11">
        <f t="shared" si="0"/>
        <v>29</v>
      </c>
      <c r="H26" s="9" t="s">
        <v>158</v>
      </c>
      <c r="I26" s="12" t="s">
        <v>159</v>
      </c>
      <c r="J26" s="9" t="s">
        <v>160</v>
      </c>
      <c r="K26" s="9" t="s">
        <v>161</v>
      </c>
      <c r="L26" s="13">
        <v>1324571</v>
      </c>
      <c r="M26" s="8">
        <v>50</v>
      </c>
      <c r="N26" s="8">
        <v>60</v>
      </c>
      <c r="O26" s="9" t="s">
        <v>47</v>
      </c>
      <c r="P26" s="9" t="s">
        <v>71</v>
      </c>
      <c r="Q26" s="6"/>
    </row>
    <row r="27" spans="1:17" ht="25.5" x14ac:dyDescent="0.25">
      <c r="A27" s="8">
        <v>294</v>
      </c>
      <c r="B27" s="8" t="s">
        <v>100</v>
      </c>
      <c r="C27" s="9" t="s">
        <v>162</v>
      </c>
      <c r="D27" s="9" t="s">
        <v>102</v>
      </c>
      <c r="E27" s="10">
        <v>45658</v>
      </c>
      <c r="F27" s="10">
        <v>46022</v>
      </c>
      <c r="G27" s="11">
        <f t="shared" si="0"/>
        <v>365</v>
      </c>
      <c r="H27" s="9" t="s">
        <v>103</v>
      </c>
      <c r="I27" s="12" t="s">
        <v>104</v>
      </c>
      <c r="J27" s="9" t="s">
        <v>105</v>
      </c>
      <c r="K27" s="9" t="s">
        <v>106</v>
      </c>
      <c r="L27" s="13">
        <v>649000</v>
      </c>
      <c r="M27" s="8">
        <v>20</v>
      </c>
      <c r="N27" s="8">
        <v>50</v>
      </c>
      <c r="O27" s="9" t="s">
        <v>107</v>
      </c>
      <c r="P27" s="9" t="s">
        <v>108</v>
      </c>
      <c r="Q27" s="6"/>
    </row>
    <row r="28" spans="1:17" ht="25.5" x14ac:dyDescent="0.25">
      <c r="A28" s="8">
        <v>293</v>
      </c>
      <c r="B28" s="8" t="s">
        <v>100</v>
      </c>
      <c r="C28" s="9" t="s">
        <v>162</v>
      </c>
      <c r="D28" s="9" t="s">
        <v>102</v>
      </c>
      <c r="E28" s="10">
        <v>45658</v>
      </c>
      <c r="F28" s="10">
        <v>46022</v>
      </c>
      <c r="G28" s="11">
        <f t="shared" si="0"/>
        <v>365</v>
      </c>
      <c r="H28" s="9" t="s">
        <v>103</v>
      </c>
      <c r="I28" s="12" t="s">
        <v>104</v>
      </c>
      <c r="J28" s="9" t="s">
        <v>105</v>
      </c>
      <c r="K28" s="9" t="s">
        <v>109</v>
      </c>
      <c r="L28" s="13">
        <v>848350</v>
      </c>
      <c r="M28" s="8">
        <v>20</v>
      </c>
      <c r="N28" s="8">
        <v>50</v>
      </c>
      <c r="O28" s="9" t="s">
        <v>110</v>
      </c>
      <c r="P28" s="9" t="s">
        <v>163</v>
      </c>
      <c r="Q28" s="6"/>
    </row>
    <row r="29" spans="1:17" ht="25.5" x14ac:dyDescent="0.25">
      <c r="A29" s="8">
        <v>292</v>
      </c>
      <c r="B29" s="8" t="s">
        <v>164</v>
      </c>
      <c r="C29" s="9" t="s">
        <v>165</v>
      </c>
      <c r="D29" s="9" t="s">
        <v>166</v>
      </c>
      <c r="E29" s="10">
        <v>45599</v>
      </c>
      <c r="F29" s="10">
        <v>45631</v>
      </c>
      <c r="G29" s="11">
        <f t="shared" si="0"/>
        <v>33</v>
      </c>
      <c r="H29" s="9" t="s">
        <v>115</v>
      </c>
      <c r="I29" s="12" t="s">
        <v>116</v>
      </c>
      <c r="J29" s="9" t="s">
        <v>167</v>
      </c>
      <c r="K29" s="9" t="s">
        <v>78</v>
      </c>
      <c r="L29" s="13">
        <v>2375836.2099764301</v>
      </c>
      <c r="M29" s="8">
        <v>120</v>
      </c>
      <c r="N29" s="8">
        <v>120</v>
      </c>
      <c r="O29" s="9" t="s">
        <v>31</v>
      </c>
      <c r="P29" s="9" t="s">
        <v>168</v>
      </c>
      <c r="Q29" s="6"/>
    </row>
    <row r="30" spans="1:17" ht="38.25" x14ac:dyDescent="0.25">
      <c r="A30" s="8">
        <v>291</v>
      </c>
      <c r="B30" s="8" t="s">
        <v>79</v>
      </c>
      <c r="C30" s="9" t="s">
        <v>169</v>
      </c>
      <c r="D30" s="9" t="s">
        <v>170</v>
      </c>
      <c r="E30" s="10">
        <v>45549</v>
      </c>
      <c r="F30" s="10">
        <v>45560</v>
      </c>
      <c r="G30" s="11">
        <f t="shared" si="0"/>
        <v>12</v>
      </c>
      <c r="H30" s="9" t="s">
        <v>171</v>
      </c>
      <c r="I30" s="12" t="s">
        <v>172</v>
      </c>
      <c r="J30" s="9" t="s">
        <v>130</v>
      </c>
      <c r="K30" s="9" t="s">
        <v>85</v>
      </c>
      <c r="L30" s="13">
        <v>299014</v>
      </c>
      <c r="M30" s="8">
        <v>113</v>
      </c>
      <c r="N30" s="8">
        <v>113</v>
      </c>
      <c r="O30" s="9" t="s">
        <v>31</v>
      </c>
      <c r="P30" s="9" t="s">
        <v>121</v>
      </c>
      <c r="Q30" s="6"/>
    </row>
    <row r="31" spans="1:17" ht="38.25" x14ac:dyDescent="0.25">
      <c r="A31" s="8">
        <v>290</v>
      </c>
      <c r="B31" s="8" t="s">
        <v>173</v>
      </c>
      <c r="C31" s="9" t="s">
        <v>174</v>
      </c>
      <c r="D31" s="9" t="s">
        <v>175</v>
      </c>
      <c r="E31" s="10">
        <v>45543</v>
      </c>
      <c r="F31" s="10">
        <v>45567</v>
      </c>
      <c r="G31" s="11">
        <f t="shared" si="0"/>
        <v>25</v>
      </c>
      <c r="H31" s="9" t="s">
        <v>176</v>
      </c>
      <c r="I31" s="12" t="s">
        <v>177</v>
      </c>
      <c r="J31" s="9" t="s">
        <v>45</v>
      </c>
      <c r="K31" s="9" t="s">
        <v>46</v>
      </c>
      <c r="L31" s="13">
        <v>1159774</v>
      </c>
      <c r="M31" s="8">
        <v>110</v>
      </c>
      <c r="N31" s="8">
        <v>110</v>
      </c>
      <c r="O31" s="9" t="s">
        <v>47</v>
      </c>
      <c r="P31" s="9" t="s">
        <v>178</v>
      </c>
      <c r="Q31" s="6"/>
    </row>
    <row r="32" spans="1:17" ht="51" x14ac:dyDescent="0.25">
      <c r="A32" s="8">
        <v>289</v>
      </c>
      <c r="B32" s="8" t="s">
        <v>25</v>
      </c>
      <c r="C32" s="9" t="s">
        <v>179</v>
      </c>
      <c r="D32" s="9" t="s">
        <v>180</v>
      </c>
      <c r="E32" s="10">
        <v>45482</v>
      </c>
      <c r="F32" s="10">
        <v>45532</v>
      </c>
      <c r="G32" s="11">
        <f t="shared" si="0"/>
        <v>51</v>
      </c>
      <c r="H32" s="9" t="s">
        <v>181</v>
      </c>
      <c r="I32" s="12" t="s">
        <v>182</v>
      </c>
      <c r="J32" s="9" t="s">
        <v>183</v>
      </c>
      <c r="K32" s="9" t="s">
        <v>184</v>
      </c>
      <c r="L32" s="13">
        <v>4155816</v>
      </c>
      <c r="M32" s="8">
        <v>50</v>
      </c>
      <c r="N32" s="8">
        <v>120</v>
      </c>
      <c r="O32" s="9" t="s">
        <v>31</v>
      </c>
      <c r="P32" s="9" t="s">
        <v>24</v>
      </c>
      <c r="Q32" s="6"/>
    </row>
    <row r="33" spans="1:17" ht="25.5" x14ac:dyDescent="0.25">
      <c r="A33" s="8">
        <v>288</v>
      </c>
      <c r="B33" s="8" t="s">
        <v>185</v>
      </c>
      <c r="C33" s="9" t="s">
        <v>186</v>
      </c>
      <c r="D33" s="9" t="s">
        <v>187</v>
      </c>
      <c r="E33" s="10">
        <v>45456</v>
      </c>
      <c r="F33" s="10">
        <v>45463</v>
      </c>
      <c r="G33" s="11">
        <f t="shared" si="0"/>
        <v>8</v>
      </c>
      <c r="H33" s="9" t="s">
        <v>188</v>
      </c>
      <c r="I33" s="12"/>
      <c r="J33" s="9" t="s">
        <v>189</v>
      </c>
      <c r="K33" s="9" t="s">
        <v>190</v>
      </c>
      <c r="L33" s="13">
        <v>174006</v>
      </c>
      <c r="M33" s="8">
        <v>110</v>
      </c>
      <c r="N33" s="8">
        <v>110</v>
      </c>
      <c r="O33" s="9" t="s">
        <v>47</v>
      </c>
      <c r="P33" s="9" t="s">
        <v>191</v>
      </c>
      <c r="Q33" s="6"/>
    </row>
    <row r="34" spans="1:17" ht="38.25" x14ac:dyDescent="0.25">
      <c r="A34" s="8">
        <v>287</v>
      </c>
      <c r="B34" s="8" t="s">
        <v>192</v>
      </c>
      <c r="C34" s="9" t="s">
        <v>193</v>
      </c>
      <c r="D34" s="9" t="s">
        <v>194</v>
      </c>
      <c r="E34" s="10">
        <v>45408</v>
      </c>
      <c r="F34" s="10">
        <v>45429</v>
      </c>
      <c r="G34" s="11">
        <f t="shared" si="0"/>
        <v>22</v>
      </c>
      <c r="H34" s="9" t="s">
        <v>195</v>
      </c>
      <c r="I34" s="12" t="s">
        <v>196</v>
      </c>
      <c r="J34" s="9" t="s">
        <v>197</v>
      </c>
      <c r="K34" s="9" t="s">
        <v>198</v>
      </c>
      <c r="L34" s="13">
        <v>1561955.51</v>
      </c>
      <c r="M34" s="8">
        <v>50</v>
      </c>
      <c r="N34" s="8">
        <v>50</v>
      </c>
      <c r="O34" s="9" t="s">
        <v>23</v>
      </c>
      <c r="P34" s="9" t="s">
        <v>24</v>
      </c>
      <c r="Q34" s="6"/>
    </row>
    <row r="35" spans="1:17" ht="25.5" x14ac:dyDescent="0.25">
      <c r="A35" s="8">
        <v>286</v>
      </c>
      <c r="B35" s="8" t="s">
        <v>73</v>
      </c>
      <c r="C35" s="9" t="s">
        <v>199</v>
      </c>
      <c r="D35" s="9" t="s">
        <v>200</v>
      </c>
      <c r="E35" s="10">
        <v>45389</v>
      </c>
      <c r="F35" s="10">
        <v>45408</v>
      </c>
      <c r="G35" s="11">
        <f t="shared" si="0"/>
        <v>20</v>
      </c>
      <c r="H35" s="9" t="s">
        <v>201</v>
      </c>
      <c r="I35" s="12" t="s">
        <v>77</v>
      </c>
      <c r="J35" s="9" t="s">
        <v>202</v>
      </c>
      <c r="K35" s="9" t="s">
        <v>203</v>
      </c>
      <c r="L35" s="13">
        <v>974161</v>
      </c>
      <c r="M35" s="8">
        <v>70</v>
      </c>
      <c r="N35" s="8">
        <v>70</v>
      </c>
      <c r="O35" s="9" t="s">
        <v>23</v>
      </c>
      <c r="P35" s="9" t="s">
        <v>24</v>
      </c>
      <c r="Q35" s="6"/>
    </row>
    <row r="36" spans="1:17" ht="25.5" x14ac:dyDescent="0.25">
      <c r="A36" s="8">
        <v>285</v>
      </c>
      <c r="B36" s="8" t="s">
        <v>79</v>
      </c>
      <c r="C36" s="9" t="s">
        <v>204</v>
      </c>
      <c r="D36" s="9" t="s">
        <v>102</v>
      </c>
      <c r="E36" s="10">
        <v>45349</v>
      </c>
      <c r="F36" s="10">
        <v>45360</v>
      </c>
      <c r="G36" s="11">
        <f t="shared" si="0"/>
        <v>12</v>
      </c>
      <c r="H36" s="9" t="s">
        <v>205</v>
      </c>
      <c r="I36" s="12" t="s">
        <v>206</v>
      </c>
      <c r="J36" s="9" t="s">
        <v>207</v>
      </c>
      <c r="K36" s="9" t="s">
        <v>85</v>
      </c>
      <c r="L36" s="13">
        <v>313618</v>
      </c>
      <c r="M36" s="8">
        <v>113</v>
      </c>
      <c r="N36" s="8">
        <v>113</v>
      </c>
      <c r="O36" s="9" t="s">
        <v>47</v>
      </c>
      <c r="P36" s="9" t="s">
        <v>121</v>
      </c>
      <c r="Q36" s="6"/>
    </row>
    <row r="37" spans="1:17" ht="25.5" x14ac:dyDescent="0.25">
      <c r="A37" s="8">
        <v>284</v>
      </c>
      <c r="B37" s="8" t="s">
        <v>100</v>
      </c>
      <c r="C37" s="9" t="s">
        <v>208</v>
      </c>
      <c r="D37" s="9" t="s">
        <v>102</v>
      </c>
      <c r="E37" s="10">
        <v>45296</v>
      </c>
      <c r="F37" s="10">
        <v>45657</v>
      </c>
      <c r="G37" s="11">
        <f t="shared" si="0"/>
        <v>362</v>
      </c>
      <c r="H37" s="9" t="s">
        <v>103</v>
      </c>
      <c r="I37" s="12" t="s">
        <v>104</v>
      </c>
      <c r="J37" s="9" t="s">
        <v>105</v>
      </c>
      <c r="K37" s="9" t="s">
        <v>209</v>
      </c>
      <c r="L37" s="13">
        <v>747854</v>
      </c>
      <c r="M37" s="8">
        <v>20</v>
      </c>
      <c r="N37" s="8">
        <v>50</v>
      </c>
      <c r="O37" s="9" t="s">
        <v>107</v>
      </c>
      <c r="P37" s="9" t="s">
        <v>108</v>
      </c>
      <c r="Q37" s="6"/>
    </row>
    <row r="38" spans="1:17" ht="25.5" x14ac:dyDescent="0.25">
      <c r="A38" s="8">
        <v>283</v>
      </c>
      <c r="B38" s="8" t="s">
        <v>100</v>
      </c>
      <c r="C38" s="9" t="s">
        <v>210</v>
      </c>
      <c r="D38" s="9" t="s">
        <v>102</v>
      </c>
      <c r="E38" s="10">
        <v>45278</v>
      </c>
      <c r="F38" s="10">
        <v>45657</v>
      </c>
      <c r="G38" s="11">
        <f t="shared" si="0"/>
        <v>380</v>
      </c>
      <c r="H38" s="9" t="s">
        <v>103</v>
      </c>
      <c r="I38" s="12" t="s">
        <v>104</v>
      </c>
      <c r="J38" s="9" t="s">
        <v>105</v>
      </c>
      <c r="K38" s="9" t="s">
        <v>211</v>
      </c>
      <c r="L38" s="13">
        <v>718640</v>
      </c>
      <c r="M38" s="8">
        <v>20</v>
      </c>
      <c r="N38" s="8">
        <v>50</v>
      </c>
      <c r="O38" s="9" t="s">
        <v>110</v>
      </c>
      <c r="P38" s="9" t="s">
        <v>212</v>
      </c>
      <c r="Q38" s="6"/>
    </row>
    <row r="39" spans="1:17" ht="25.5" x14ac:dyDescent="0.25">
      <c r="A39" s="8">
        <v>282</v>
      </c>
      <c r="B39" s="8" t="s">
        <v>213</v>
      </c>
      <c r="C39" s="9" t="s">
        <v>214</v>
      </c>
      <c r="D39" s="9" t="s">
        <v>215</v>
      </c>
      <c r="E39" s="10">
        <v>45200</v>
      </c>
      <c r="F39" s="10">
        <v>45255</v>
      </c>
      <c r="G39" s="11">
        <f t="shared" si="0"/>
        <v>56</v>
      </c>
      <c r="H39" s="9" t="s">
        <v>216</v>
      </c>
      <c r="I39" s="12" t="s">
        <v>217</v>
      </c>
      <c r="J39" s="9" t="s">
        <v>218</v>
      </c>
      <c r="K39" s="9" t="s">
        <v>219</v>
      </c>
      <c r="L39" s="13">
        <v>101115</v>
      </c>
      <c r="M39" s="8">
        <v>35</v>
      </c>
      <c r="N39" s="8">
        <v>35</v>
      </c>
      <c r="O39" s="9" t="s">
        <v>107</v>
      </c>
      <c r="P39" s="9" t="s">
        <v>220</v>
      </c>
      <c r="Q39" s="6"/>
    </row>
    <row r="40" spans="1:17" ht="25.5" x14ac:dyDescent="0.25">
      <c r="A40" s="8">
        <v>281</v>
      </c>
      <c r="B40" s="8" t="s">
        <v>221</v>
      </c>
      <c r="C40" s="9" t="s">
        <v>222</v>
      </c>
      <c r="D40" s="9" t="s">
        <v>223</v>
      </c>
      <c r="E40" s="10">
        <v>45229</v>
      </c>
      <c r="F40" s="10">
        <v>45239</v>
      </c>
      <c r="G40" s="11">
        <f t="shared" si="0"/>
        <v>11</v>
      </c>
      <c r="H40" s="9" t="s">
        <v>224</v>
      </c>
      <c r="I40" s="12" t="s">
        <v>225</v>
      </c>
      <c r="J40" s="9" t="s">
        <v>226</v>
      </c>
      <c r="K40" s="9" t="s">
        <v>227</v>
      </c>
      <c r="L40" s="13">
        <v>1165711.68</v>
      </c>
      <c r="M40" s="8">
        <v>55</v>
      </c>
      <c r="N40" s="8">
        <v>55</v>
      </c>
      <c r="O40" s="9" t="s">
        <v>23</v>
      </c>
      <c r="P40" s="9" t="s">
        <v>168</v>
      </c>
      <c r="Q40" s="6"/>
    </row>
    <row r="41" spans="1:17" ht="25.5" x14ac:dyDescent="0.25">
      <c r="A41" s="8">
        <v>280</v>
      </c>
      <c r="B41" s="8" t="s">
        <v>73</v>
      </c>
      <c r="C41" s="9" t="s">
        <v>228</v>
      </c>
      <c r="D41" s="9" t="s">
        <v>151</v>
      </c>
      <c r="E41" s="10">
        <v>45221</v>
      </c>
      <c r="F41" s="10">
        <v>45242</v>
      </c>
      <c r="G41" s="11">
        <f t="shared" si="0"/>
        <v>22</v>
      </c>
      <c r="H41" s="9" t="s">
        <v>201</v>
      </c>
      <c r="I41" s="12" t="s">
        <v>77</v>
      </c>
      <c r="J41" s="9" t="s">
        <v>91</v>
      </c>
      <c r="K41" s="9" t="s">
        <v>85</v>
      </c>
      <c r="L41" s="13">
        <v>575095</v>
      </c>
      <c r="M41" s="8">
        <v>120</v>
      </c>
      <c r="N41" s="8">
        <v>120</v>
      </c>
      <c r="O41" s="9" t="s">
        <v>47</v>
      </c>
      <c r="P41" s="9" t="s">
        <v>229</v>
      </c>
      <c r="Q41" s="6"/>
    </row>
    <row r="42" spans="1:17" ht="25.5" x14ac:dyDescent="0.25">
      <c r="A42" s="8">
        <v>279</v>
      </c>
      <c r="B42" s="8" t="s">
        <v>86</v>
      </c>
      <c r="C42" s="9" t="s">
        <v>230</v>
      </c>
      <c r="D42" s="9" t="s">
        <v>231</v>
      </c>
      <c r="E42" s="10">
        <v>45196</v>
      </c>
      <c r="F42" s="10">
        <v>45217</v>
      </c>
      <c r="G42" s="11">
        <f t="shared" si="0"/>
        <v>22</v>
      </c>
      <c r="H42" s="9" t="s">
        <v>89</v>
      </c>
      <c r="I42" s="12" t="s">
        <v>90</v>
      </c>
      <c r="J42" s="9" t="s">
        <v>232</v>
      </c>
      <c r="K42" s="9" t="s">
        <v>233</v>
      </c>
      <c r="L42" s="13">
        <v>229769</v>
      </c>
      <c r="M42" s="8">
        <v>53</v>
      </c>
      <c r="N42" s="8">
        <v>53</v>
      </c>
      <c r="O42" s="9" t="s">
        <v>47</v>
      </c>
      <c r="P42" s="9" t="s">
        <v>234</v>
      </c>
      <c r="Q42" s="6"/>
    </row>
    <row r="43" spans="1:17" ht="25.5" x14ac:dyDescent="0.25">
      <c r="A43" s="8">
        <v>278</v>
      </c>
      <c r="B43" s="8" t="s">
        <v>16</v>
      </c>
      <c r="C43" s="9" t="s">
        <v>235</v>
      </c>
      <c r="D43" s="9" t="s">
        <v>236</v>
      </c>
      <c r="E43" s="10">
        <v>45190</v>
      </c>
      <c r="F43" s="10">
        <v>45242</v>
      </c>
      <c r="G43" s="11">
        <f t="shared" si="0"/>
        <v>53</v>
      </c>
      <c r="H43" s="9" t="s">
        <v>237</v>
      </c>
      <c r="I43" s="12" t="s">
        <v>238</v>
      </c>
      <c r="J43" s="9" t="s">
        <v>21</v>
      </c>
      <c r="K43" s="9" t="s">
        <v>22</v>
      </c>
      <c r="L43" s="13">
        <v>4445710.58</v>
      </c>
      <c r="M43" s="8">
        <v>55</v>
      </c>
      <c r="N43" s="8">
        <v>55</v>
      </c>
      <c r="O43" s="9" t="s">
        <v>23</v>
      </c>
      <c r="P43" s="9" t="s">
        <v>168</v>
      </c>
      <c r="Q43" s="6"/>
    </row>
    <row r="44" spans="1:17" ht="25.5" x14ac:dyDescent="0.25">
      <c r="A44" s="8">
        <v>277</v>
      </c>
      <c r="B44" s="8" t="s">
        <v>213</v>
      </c>
      <c r="C44" s="9" t="s">
        <v>214</v>
      </c>
      <c r="D44" s="9" t="s">
        <v>215</v>
      </c>
      <c r="E44" s="10">
        <v>45160</v>
      </c>
      <c r="F44" s="10">
        <v>45166</v>
      </c>
      <c r="G44" s="11">
        <f t="shared" si="0"/>
        <v>7</v>
      </c>
      <c r="H44" s="9" t="s">
        <v>216</v>
      </c>
      <c r="I44" s="12" t="s">
        <v>217</v>
      </c>
      <c r="J44" s="9" t="s">
        <v>218</v>
      </c>
      <c r="K44" s="9" t="s">
        <v>219</v>
      </c>
      <c r="L44" s="13">
        <v>52858</v>
      </c>
      <c r="M44" s="8">
        <v>35</v>
      </c>
      <c r="N44" s="8">
        <v>35</v>
      </c>
      <c r="O44" s="9" t="s">
        <v>107</v>
      </c>
      <c r="P44" s="9" t="s">
        <v>220</v>
      </c>
      <c r="Q44" s="6"/>
    </row>
    <row r="45" spans="1:17" ht="38.25" x14ac:dyDescent="0.25">
      <c r="A45" s="8">
        <v>276</v>
      </c>
      <c r="B45" s="8" t="s">
        <v>25</v>
      </c>
      <c r="C45" s="9" t="s">
        <v>239</v>
      </c>
      <c r="D45" s="9" t="s">
        <v>240</v>
      </c>
      <c r="E45" s="10">
        <v>45158</v>
      </c>
      <c r="F45" s="10">
        <v>45184</v>
      </c>
      <c r="G45" s="11">
        <f t="shared" si="0"/>
        <v>27</v>
      </c>
      <c r="H45" s="9" t="s">
        <v>241</v>
      </c>
      <c r="I45" s="12" t="s">
        <v>182</v>
      </c>
      <c r="J45" s="9" t="s">
        <v>242</v>
      </c>
      <c r="K45" s="9" t="s">
        <v>243</v>
      </c>
      <c r="L45" s="13">
        <v>1878550</v>
      </c>
      <c r="M45" s="8">
        <v>30</v>
      </c>
      <c r="N45" s="8">
        <v>50</v>
      </c>
      <c r="O45" s="9" t="s">
        <v>31</v>
      </c>
      <c r="P45" s="9" t="s">
        <v>168</v>
      </c>
      <c r="Q45" s="6"/>
    </row>
    <row r="46" spans="1:17" ht="51" x14ac:dyDescent="0.25">
      <c r="A46" s="8">
        <v>275</v>
      </c>
      <c r="B46" s="8" t="s">
        <v>244</v>
      </c>
      <c r="C46" s="9" t="s">
        <v>245</v>
      </c>
      <c r="D46" s="9" t="s">
        <v>246</v>
      </c>
      <c r="E46" s="10">
        <v>45119</v>
      </c>
      <c r="F46" s="10">
        <v>45152</v>
      </c>
      <c r="G46" s="11">
        <f t="shared" si="0"/>
        <v>34</v>
      </c>
      <c r="H46" s="9" t="s">
        <v>67</v>
      </c>
      <c r="I46" s="12" t="s">
        <v>68</v>
      </c>
      <c r="J46" s="9" t="s">
        <v>247</v>
      </c>
      <c r="K46" s="9" t="s">
        <v>70</v>
      </c>
      <c r="L46" s="13">
        <v>1671935</v>
      </c>
      <c r="M46" s="8">
        <v>100</v>
      </c>
      <c r="N46" s="8">
        <v>100</v>
      </c>
      <c r="O46" s="9" t="s">
        <v>47</v>
      </c>
      <c r="P46" s="9" t="s">
        <v>168</v>
      </c>
      <c r="Q46" s="6"/>
    </row>
    <row r="47" spans="1:17" ht="38.25" x14ac:dyDescent="0.25">
      <c r="A47" s="8">
        <v>274</v>
      </c>
      <c r="B47" s="8" t="s">
        <v>173</v>
      </c>
      <c r="C47" s="9" t="s">
        <v>248</v>
      </c>
      <c r="D47" s="9" t="s">
        <v>249</v>
      </c>
      <c r="E47" s="10">
        <v>45091</v>
      </c>
      <c r="F47" s="10">
        <v>45101</v>
      </c>
      <c r="G47" s="11">
        <f t="shared" si="0"/>
        <v>11</v>
      </c>
      <c r="H47" s="9" t="s">
        <v>250</v>
      </c>
      <c r="I47" s="12" t="s">
        <v>251</v>
      </c>
      <c r="J47" s="9" t="s">
        <v>252</v>
      </c>
      <c r="K47" s="9" t="s">
        <v>253</v>
      </c>
      <c r="L47" s="13">
        <v>70969</v>
      </c>
      <c r="M47" s="8">
        <v>120</v>
      </c>
      <c r="N47" s="8">
        <v>120</v>
      </c>
      <c r="O47" s="9" t="s">
        <v>107</v>
      </c>
      <c r="P47" s="9" t="s">
        <v>220</v>
      </c>
      <c r="Q47" s="6"/>
    </row>
    <row r="48" spans="1:17" ht="25.5" x14ac:dyDescent="0.25">
      <c r="A48" s="8">
        <v>273</v>
      </c>
      <c r="B48" s="8" t="s">
        <v>122</v>
      </c>
      <c r="C48" s="9" t="s">
        <v>254</v>
      </c>
      <c r="D48" s="9" t="s">
        <v>133</v>
      </c>
      <c r="E48" s="10">
        <v>45088</v>
      </c>
      <c r="F48" s="10">
        <v>45126</v>
      </c>
      <c r="G48" s="11">
        <f t="shared" si="0"/>
        <v>39</v>
      </c>
      <c r="H48" s="9" t="s">
        <v>125</v>
      </c>
      <c r="I48" s="12" t="s">
        <v>126</v>
      </c>
      <c r="J48" s="9" t="s">
        <v>134</v>
      </c>
      <c r="K48" s="9" t="s">
        <v>92</v>
      </c>
      <c r="L48" s="13">
        <v>83919</v>
      </c>
      <c r="M48" s="8">
        <v>50</v>
      </c>
      <c r="N48" s="8">
        <v>50</v>
      </c>
      <c r="O48" s="9"/>
      <c r="P48" s="9" t="s">
        <v>24</v>
      </c>
      <c r="Q48" s="6"/>
    </row>
    <row r="49" spans="1:17" ht="25.5" x14ac:dyDescent="0.25">
      <c r="A49" s="8">
        <v>272</v>
      </c>
      <c r="B49" s="8" t="s">
        <v>122</v>
      </c>
      <c r="C49" s="9" t="s">
        <v>255</v>
      </c>
      <c r="D49" s="9" t="s">
        <v>133</v>
      </c>
      <c r="E49" s="10">
        <v>45049</v>
      </c>
      <c r="F49" s="10">
        <v>45078</v>
      </c>
      <c r="G49" s="11">
        <f t="shared" si="0"/>
        <v>30</v>
      </c>
      <c r="H49" s="9" t="s">
        <v>125</v>
      </c>
      <c r="I49" s="12" t="s">
        <v>126</v>
      </c>
      <c r="J49" s="9" t="s">
        <v>134</v>
      </c>
      <c r="K49" s="9" t="s">
        <v>256</v>
      </c>
      <c r="L49" s="13">
        <v>114405</v>
      </c>
      <c r="M49" s="8">
        <v>110</v>
      </c>
      <c r="N49" s="8">
        <v>110</v>
      </c>
      <c r="O49" s="9"/>
      <c r="P49" s="9" t="s">
        <v>149</v>
      </c>
      <c r="Q49" s="6"/>
    </row>
    <row r="50" spans="1:17" ht="51" x14ac:dyDescent="0.25">
      <c r="A50" s="8">
        <v>271</v>
      </c>
      <c r="B50" s="8" t="s">
        <v>173</v>
      </c>
      <c r="C50" s="9" t="s">
        <v>257</v>
      </c>
      <c r="D50" s="9" t="s">
        <v>249</v>
      </c>
      <c r="E50" s="10">
        <v>45043</v>
      </c>
      <c r="F50" s="10">
        <v>45061</v>
      </c>
      <c r="G50" s="11">
        <f t="shared" si="0"/>
        <v>19</v>
      </c>
      <c r="H50" s="9" t="s">
        <v>250</v>
      </c>
      <c r="I50" s="12" t="s">
        <v>251</v>
      </c>
      <c r="J50" s="9" t="s">
        <v>258</v>
      </c>
      <c r="K50" s="9" t="s">
        <v>253</v>
      </c>
      <c r="L50" s="13">
        <v>88962</v>
      </c>
      <c r="M50" s="8">
        <v>120</v>
      </c>
      <c r="N50" s="8">
        <v>120</v>
      </c>
      <c r="O50" s="9" t="s">
        <v>107</v>
      </c>
      <c r="P50" s="9" t="s">
        <v>220</v>
      </c>
      <c r="Q50" s="6"/>
    </row>
    <row r="51" spans="1:17" ht="25.5" x14ac:dyDescent="0.25">
      <c r="A51" s="8">
        <v>270</v>
      </c>
      <c r="B51" s="8" t="s">
        <v>155</v>
      </c>
      <c r="C51" s="9" t="s">
        <v>259</v>
      </c>
      <c r="D51" s="9" t="s">
        <v>157</v>
      </c>
      <c r="E51" s="10">
        <v>45036</v>
      </c>
      <c r="F51" s="10">
        <v>45064</v>
      </c>
      <c r="G51" s="11">
        <f t="shared" si="0"/>
        <v>29</v>
      </c>
      <c r="H51" s="9" t="s">
        <v>158</v>
      </c>
      <c r="I51" s="12" t="s">
        <v>159</v>
      </c>
      <c r="J51" s="9" t="s">
        <v>260</v>
      </c>
      <c r="K51" s="9" t="s">
        <v>161</v>
      </c>
      <c r="L51" s="13">
        <v>960890</v>
      </c>
      <c r="M51" s="8">
        <v>50</v>
      </c>
      <c r="N51" s="8">
        <v>60</v>
      </c>
      <c r="O51" s="9" t="s">
        <v>110</v>
      </c>
      <c r="P51" s="9" t="s">
        <v>168</v>
      </c>
      <c r="Q51" s="6"/>
    </row>
    <row r="52" spans="1:17" ht="38.25" x14ac:dyDescent="0.25">
      <c r="A52" s="8">
        <v>269</v>
      </c>
      <c r="B52" s="8" t="s">
        <v>86</v>
      </c>
      <c r="C52" s="9" t="s">
        <v>261</v>
      </c>
      <c r="D52" s="9" t="s">
        <v>262</v>
      </c>
      <c r="E52" s="10">
        <v>45031</v>
      </c>
      <c r="F52" s="10">
        <v>45034</v>
      </c>
      <c r="G52" s="11">
        <f t="shared" si="0"/>
        <v>4</v>
      </c>
      <c r="H52" s="9" t="s">
        <v>89</v>
      </c>
      <c r="I52" s="12" t="s">
        <v>90</v>
      </c>
      <c r="J52" s="9" t="s">
        <v>263</v>
      </c>
      <c r="K52" s="9" t="s">
        <v>264</v>
      </c>
      <c r="L52" s="13">
        <v>48366</v>
      </c>
      <c r="M52" s="8">
        <v>50</v>
      </c>
      <c r="N52" s="8">
        <v>60</v>
      </c>
      <c r="O52" s="9" t="s">
        <v>31</v>
      </c>
      <c r="P52" s="9" t="s">
        <v>168</v>
      </c>
      <c r="Q52" s="6"/>
    </row>
    <row r="53" spans="1:17" ht="51" x14ac:dyDescent="0.25">
      <c r="A53" s="8">
        <v>268</v>
      </c>
      <c r="B53" s="8" t="s">
        <v>73</v>
      </c>
      <c r="C53" s="9" t="s">
        <v>265</v>
      </c>
      <c r="D53" s="9" t="s">
        <v>266</v>
      </c>
      <c r="E53" s="10">
        <v>45003</v>
      </c>
      <c r="F53" s="10">
        <v>45031</v>
      </c>
      <c r="G53" s="11">
        <f t="shared" si="0"/>
        <v>29</v>
      </c>
      <c r="H53" s="9" t="s">
        <v>201</v>
      </c>
      <c r="I53" s="12" t="s">
        <v>77</v>
      </c>
      <c r="J53" s="9" t="s">
        <v>267</v>
      </c>
      <c r="K53" s="9" t="s">
        <v>268</v>
      </c>
      <c r="L53" s="13">
        <v>1367120</v>
      </c>
      <c r="M53" s="8">
        <v>50</v>
      </c>
      <c r="N53" s="8">
        <v>110</v>
      </c>
      <c r="O53" s="9" t="s">
        <v>23</v>
      </c>
      <c r="P53" s="9" t="s">
        <v>168</v>
      </c>
      <c r="Q53" s="6"/>
    </row>
    <row r="54" spans="1:17" ht="25.5" x14ac:dyDescent="0.25">
      <c r="A54" s="8">
        <v>267</v>
      </c>
      <c r="B54" s="8" t="s">
        <v>16</v>
      </c>
      <c r="C54" s="9" t="s">
        <v>269</v>
      </c>
      <c r="D54" s="9" t="s">
        <v>270</v>
      </c>
      <c r="E54" s="10">
        <v>44829</v>
      </c>
      <c r="F54" s="10">
        <v>44863</v>
      </c>
      <c r="G54" s="11">
        <f t="shared" si="0"/>
        <v>35</v>
      </c>
      <c r="H54" s="9" t="s">
        <v>237</v>
      </c>
      <c r="I54" s="12" t="s">
        <v>238</v>
      </c>
      <c r="J54" s="9" t="s">
        <v>271</v>
      </c>
      <c r="K54" s="9" t="s">
        <v>22</v>
      </c>
      <c r="L54" s="13">
        <v>2235452</v>
      </c>
      <c r="M54" s="8">
        <v>55</v>
      </c>
      <c r="N54" s="8">
        <v>55</v>
      </c>
      <c r="O54" s="9" t="s">
        <v>272</v>
      </c>
      <c r="P54" s="9" t="s">
        <v>273</v>
      </c>
      <c r="Q54" s="6"/>
    </row>
    <row r="55" spans="1:17" ht="25.5" x14ac:dyDescent="0.25">
      <c r="A55" s="8">
        <v>266</v>
      </c>
      <c r="B55" s="8" t="s">
        <v>86</v>
      </c>
      <c r="C55" s="9" t="s">
        <v>274</v>
      </c>
      <c r="D55" s="9" t="s">
        <v>275</v>
      </c>
      <c r="E55" s="10">
        <v>44788</v>
      </c>
      <c r="F55" s="10">
        <v>44803</v>
      </c>
      <c r="G55" s="11">
        <f t="shared" si="0"/>
        <v>16</v>
      </c>
      <c r="H55" s="9" t="s">
        <v>89</v>
      </c>
      <c r="I55" s="12" t="s">
        <v>90</v>
      </c>
      <c r="J55" s="9" t="s">
        <v>276</v>
      </c>
      <c r="K55" s="9" t="s">
        <v>161</v>
      </c>
      <c r="L55" s="13">
        <v>103270.223752152</v>
      </c>
      <c r="M55" s="8">
        <v>50</v>
      </c>
      <c r="N55" s="8">
        <v>60</v>
      </c>
      <c r="O55" s="9" t="s">
        <v>110</v>
      </c>
      <c r="P55" s="9" t="s">
        <v>229</v>
      </c>
      <c r="Q55" s="6"/>
    </row>
    <row r="56" spans="1:17" ht="25.5" x14ac:dyDescent="0.25">
      <c r="A56" s="8">
        <v>265</v>
      </c>
      <c r="B56" s="8" t="s">
        <v>79</v>
      </c>
      <c r="C56" s="9" t="s">
        <v>277</v>
      </c>
      <c r="D56" s="9" t="s">
        <v>278</v>
      </c>
      <c r="E56" s="10">
        <v>44781</v>
      </c>
      <c r="F56" s="10">
        <v>44802</v>
      </c>
      <c r="G56" s="11">
        <f t="shared" si="0"/>
        <v>22</v>
      </c>
      <c r="H56" s="9" t="s">
        <v>279</v>
      </c>
      <c r="I56" s="12" t="s">
        <v>280</v>
      </c>
      <c r="J56" s="9" t="s">
        <v>281</v>
      </c>
      <c r="K56" s="9" t="s">
        <v>85</v>
      </c>
      <c r="L56" s="13">
        <v>434678</v>
      </c>
      <c r="M56" s="8">
        <v>113</v>
      </c>
      <c r="N56" s="8">
        <v>113</v>
      </c>
      <c r="O56" s="9" t="s">
        <v>47</v>
      </c>
      <c r="P56" s="9" t="s">
        <v>282</v>
      </c>
      <c r="Q56" s="6"/>
    </row>
    <row r="57" spans="1:17" ht="25.5" x14ac:dyDescent="0.25">
      <c r="A57" s="8">
        <v>264</v>
      </c>
      <c r="B57" s="8" t="s">
        <v>155</v>
      </c>
      <c r="C57" s="9" t="s">
        <v>283</v>
      </c>
      <c r="D57" s="9" t="s">
        <v>278</v>
      </c>
      <c r="E57" s="10">
        <v>44762</v>
      </c>
      <c r="F57" s="10">
        <v>44777</v>
      </c>
      <c r="G57" s="11">
        <f t="shared" si="0"/>
        <v>16</v>
      </c>
      <c r="H57" s="9" t="s">
        <v>158</v>
      </c>
      <c r="I57" s="12" t="s">
        <v>159</v>
      </c>
      <c r="J57" s="9" t="s">
        <v>284</v>
      </c>
      <c r="K57" s="9" t="s">
        <v>161</v>
      </c>
      <c r="L57" s="13">
        <v>364472</v>
      </c>
      <c r="M57" s="8">
        <v>50</v>
      </c>
      <c r="N57" s="8">
        <v>60</v>
      </c>
      <c r="O57" s="9" t="s">
        <v>110</v>
      </c>
      <c r="P57" s="9" t="s">
        <v>273</v>
      </c>
      <c r="Q57" s="6"/>
    </row>
    <row r="58" spans="1:17" ht="25.5" x14ac:dyDescent="0.25">
      <c r="A58" s="8">
        <v>263</v>
      </c>
      <c r="B58" s="8" t="s">
        <v>122</v>
      </c>
      <c r="C58" s="9" t="s">
        <v>285</v>
      </c>
      <c r="D58" s="9" t="s">
        <v>286</v>
      </c>
      <c r="E58" s="10">
        <v>44752</v>
      </c>
      <c r="F58" s="10">
        <v>44756</v>
      </c>
      <c r="G58" s="11">
        <f t="shared" si="0"/>
        <v>5</v>
      </c>
      <c r="H58" s="9" t="s">
        <v>287</v>
      </c>
      <c r="I58" s="12" t="s">
        <v>288</v>
      </c>
      <c r="J58" s="9" t="s">
        <v>289</v>
      </c>
      <c r="K58" s="9" t="s">
        <v>22</v>
      </c>
      <c r="L58" s="13">
        <v>217550</v>
      </c>
      <c r="M58" s="8">
        <v>55</v>
      </c>
      <c r="N58" s="8">
        <v>55</v>
      </c>
      <c r="O58" s="9" t="s">
        <v>272</v>
      </c>
      <c r="P58" s="9" t="s">
        <v>290</v>
      </c>
      <c r="Q58" s="6"/>
    </row>
    <row r="59" spans="1:17" ht="51" x14ac:dyDescent="0.25">
      <c r="A59" s="8">
        <v>262</v>
      </c>
      <c r="B59" s="8" t="s">
        <v>16</v>
      </c>
      <c r="C59" s="9" t="s">
        <v>269</v>
      </c>
      <c r="D59" s="9" t="s">
        <v>270</v>
      </c>
      <c r="E59" s="10">
        <v>44735</v>
      </c>
      <c r="F59" s="10">
        <v>44759</v>
      </c>
      <c r="G59" s="11">
        <f t="shared" si="0"/>
        <v>25</v>
      </c>
      <c r="H59" s="9" t="s">
        <v>237</v>
      </c>
      <c r="I59" s="12" t="s">
        <v>238</v>
      </c>
      <c r="J59" s="9" t="s">
        <v>291</v>
      </c>
      <c r="K59" s="9" t="s">
        <v>22</v>
      </c>
      <c r="L59" s="13">
        <v>1081707</v>
      </c>
      <c r="M59" s="8">
        <v>55</v>
      </c>
      <c r="N59" s="8">
        <v>55</v>
      </c>
      <c r="O59" s="9" t="s">
        <v>272</v>
      </c>
      <c r="P59" s="9" t="s">
        <v>290</v>
      </c>
      <c r="Q59" s="6"/>
    </row>
    <row r="60" spans="1:17" ht="63.75" x14ac:dyDescent="0.25">
      <c r="A60" s="8">
        <v>261</v>
      </c>
      <c r="B60" s="8" t="s">
        <v>25</v>
      </c>
      <c r="C60" s="9" t="s">
        <v>292</v>
      </c>
      <c r="D60" s="9" t="s">
        <v>293</v>
      </c>
      <c r="E60" s="10">
        <v>44709</v>
      </c>
      <c r="F60" s="10">
        <v>44791</v>
      </c>
      <c r="G60" s="11">
        <f t="shared" si="0"/>
        <v>83</v>
      </c>
      <c r="H60" s="9" t="s">
        <v>294</v>
      </c>
      <c r="I60" s="12" t="s">
        <v>182</v>
      </c>
      <c r="J60" s="9" t="s">
        <v>295</v>
      </c>
      <c r="K60" s="9" t="s">
        <v>184</v>
      </c>
      <c r="L60" s="13">
        <v>5077597</v>
      </c>
      <c r="M60" s="8">
        <v>50</v>
      </c>
      <c r="N60" s="8">
        <v>120</v>
      </c>
      <c r="O60" s="9" t="s">
        <v>31</v>
      </c>
      <c r="P60" s="9" t="s">
        <v>71</v>
      </c>
      <c r="Q60" s="6"/>
    </row>
    <row r="61" spans="1:17" ht="51" x14ac:dyDescent="0.25">
      <c r="A61" s="8">
        <v>260</v>
      </c>
      <c r="B61" s="8" t="s">
        <v>296</v>
      </c>
      <c r="C61" s="9" t="s">
        <v>297</v>
      </c>
      <c r="D61" s="9" t="s">
        <v>298</v>
      </c>
      <c r="E61" s="10">
        <v>44698</v>
      </c>
      <c r="F61" s="10">
        <v>44724</v>
      </c>
      <c r="G61" s="11">
        <f t="shared" si="0"/>
        <v>27</v>
      </c>
      <c r="H61" s="9" t="s">
        <v>299</v>
      </c>
      <c r="I61" s="12" t="s">
        <v>300</v>
      </c>
      <c r="J61" s="9" t="s">
        <v>301</v>
      </c>
      <c r="K61" s="9" t="s">
        <v>302</v>
      </c>
      <c r="L61" s="13">
        <v>2545278</v>
      </c>
      <c r="M61" s="8">
        <v>110</v>
      </c>
      <c r="N61" s="8">
        <v>110</v>
      </c>
      <c r="O61" s="9" t="s">
        <v>303</v>
      </c>
      <c r="P61" s="9" t="s">
        <v>304</v>
      </c>
      <c r="Q61" s="6"/>
    </row>
    <row r="62" spans="1:17" x14ac:dyDescent="0.25">
      <c r="A62" s="8">
        <v>259</v>
      </c>
      <c r="B62" s="8" t="s">
        <v>136</v>
      </c>
      <c r="C62" s="9" t="s">
        <v>305</v>
      </c>
      <c r="D62" s="9" t="s">
        <v>306</v>
      </c>
      <c r="E62" s="10">
        <v>44683</v>
      </c>
      <c r="F62" s="10">
        <v>44693</v>
      </c>
      <c r="G62" s="11">
        <f t="shared" si="0"/>
        <v>11</v>
      </c>
      <c r="H62" s="9" t="s">
        <v>307</v>
      </c>
      <c r="I62" s="12" t="s">
        <v>308</v>
      </c>
      <c r="J62" s="9" t="s">
        <v>309</v>
      </c>
      <c r="K62" s="9" t="s">
        <v>92</v>
      </c>
      <c r="L62" s="13">
        <v>108085</v>
      </c>
      <c r="M62" s="8">
        <v>50</v>
      </c>
      <c r="N62" s="8">
        <v>60</v>
      </c>
      <c r="O62" s="9" t="s">
        <v>110</v>
      </c>
      <c r="P62" s="9" t="s">
        <v>310</v>
      </c>
      <c r="Q62" s="6"/>
    </row>
    <row r="63" spans="1:17" ht="25.5" x14ac:dyDescent="0.25">
      <c r="A63" s="8">
        <v>258</v>
      </c>
      <c r="B63" s="8" t="s">
        <v>79</v>
      </c>
      <c r="C63" s="9" t="s">
        <v>311</v>
      </c>
      <c r="D63" s="9" t="s">
        <v>50</v>
      </c>
      <c r="E63" s="14">
        <v>44493</v>
      </c>
      <c r="F63" s="14">
        <v>44501</v>
      </c>
      <c r="G63" s="11">
        <f t="shared" si="0"/>
        <v>9</v>
      </c>
      <c r="H63" s="9" t="s">
        <v>312</v>
      </c>
      <c r="I63" s="12" t="s">
        <v>206</v>
      </c>
      <c r="J63" s="9" t="s">
        <v>313</v>
      </c>
      <c r="K63" s="9" t="s">
        <v>85</v>
      </c>
      <c r="L63" s="13">
        <v>118042</v>
      </c>
      <c r="M63" s="8">
        <v>113</v>
      </c>
      <c r="N63" s="8">
        <v>113</v>
      </c>
      <c r="O63" s="9" t="s">
        <v>110</v>
      </c>
      <c r="P63" s="9" t="s">
        <v>93</v>
      </c>
      <c r="Q63" s="6"/>
    </row>
    <row r="64" spans="1:17" x14ac:dyDescent="0.25">
      <c r="A64" s="8">
        <v>257</v>
      </c>
      <c r="B64" s="8" t="s">
        <v>155</v>
      </c>
      <c r="C64" s="9" t="s">
        <v>315</v>
      </c>
      <c r="D64" s="9" t="s">
        <v>316</v>
      </c>
      <c r="E64" s="10">
        <v>44450</v>
      </c>
      <c r="F64" s="10">
        <v>44475</v>
      </c>
      <c r="G64" s="11">
        <f t="shared" si="0"/>
        <v>26</v>
      </c>
      <c r="H64" s="9" t="s">
        <v>317</v>
      </c>
      <c r="I64" s="12" t="s">
        <v>318</v>
      </c>
      <c r="J64" s="9" t="s">
        <v>319</v>
      </c>
      <c r="K64" s="9" t="s">
        <v>161</v>
      </c>
      <c r="L64" s="13">
        <v>105155.8</v>
      </c>
      <c r="M64" s="8">
        <v>50</v>
      </c>
      <c r="N64" s="8">
        <v>50</v>
      </c>
      <c r="O64" s="9" t="s">
        <v>110</v>
      </c>
      <c r="P64" s="9" t="s">
        <v>320</v>
      </c>
      <c r="Q64" s="6"/>
    </row>
    <row r="65" spans="1:17" ht="25.5" x14ac:dyDescent="0.25">
      <c r="A65" s="8">
        <v>256</v>
      </c>
      <c r="B65" s="8" t="s">
        <v>86</v>
      </c>
      <c r="C65" s="9" t="s">
        <v>321</v>
      </c>
      <c r="D65" s="9" t="s">
        <v>322</v>
      </c>
      <c r="E65" s="10">
        <v>44423</v>
      </c>
      <c r="F65" s="10">
        <v>44438</v>
      </c>
      <c r="G65" s="11">
        <f t="shared" si="0"/>
        <v>16</v>
      </c>
      <c r="H65" s="9" t="s">
        <v>89</v>
      </c>
      <c r="I65" s="12" t="s">
        <v>90</v>
      </c>
      <c r="J65" s="9" t="s">
        <v>323</v>
      </c>
      <c r="K65" s="9" t="s">
        <v>324</v>
      </c>
      <c r="L65" s="13">
        <v>186683</v>
      </c>
      <c r="M65" s="8">
        <v>52</v>
      </c>
      <c r="N65" s="8">
        <v>52</v>
      </c>
      <c r="O65" s="9" t="s">
        <v>47</v>
      </c>
      <c r="P65" s="9" t="s">
        <v>325</v>
      </c>
      <c r="Q65" s="6"/>
    </row>
    <row r="66" spans="1:17" ht="25.5" x14ac:dyDescent="0.25">
      <c r="A66" s="8">
        <v>255</v>
      </c>
      <c r="B66" s="8" t="s">
        <v>136</v>
      </c>
      <c r="C66" s="9" t="s">
        <v>326</v>
      </c>
      <c r="D66" s="9" t="s">
        <v>306</v>
      </c>
      <c r="E66" s="10">
        <v>44377</v>
      </c>
      <c r="F66" s="10">
        <v>44386</v>
      </c>
      <c r="G66" s="11">
        <f t="shared" ref="G66:G129" si="1">IF(AND(ISNUMBER(E66),ISNUMBER(F66)),F66-E66+1,"")</f>
        <v>10</v>
      </c>
      <c r="H66" s="9" t="s">
        <v>327</v>
      </c>
      <c r="I66" s="12" t="s">
        <v>328</v>
      </c>
      <c r="J66" s="9" t="s">
        <v>329</v>
      </c>
      <c r="K66" s="9" t="s">
        <v>92</v>
      </c>
      <c r="L66" s="13">
        <v>90477</v>
      </c>
      <c r="M66" s="8">
        <v>50</v>
      </c>
      <c r="N66" s="8">
        <v>60</v>
      </c>
      <c r="O66" s="9" t="s">
        <v>110</v>
      </c>
      <c r="P66" s="9" t="s">
        <v>330</v>
      </c>
      <c r="Q66" s="6"/>
    </row>
    <row r="67" spans="1:17" x14ac:dyDescent="0.25">
      <c r="A67" s="8">
        <v>254</v>
      </c>
      <c r="B67" s="8" t="s">
        <v>331</v>
      </c>
      <c r="C67" s="9" t="s">
        <v>332</v>
      </c>
      <c r="D67" s="9" t="s">
        <v>88</v>
      </c>
      <c r="E67" s="10">
        <v>44344</v>
      </c>
      <c r="F67" s="10">
        <v>44357</v>
      </c>
      <c r="G67" s="11">
        <f t="shared" si="1"/>
        <v>14</v>
      </c>
      <c r="H67" s="9" t="s">
        <v>333</v>
      </c>
      <c r="I67" s="12" t="s">
        <v>334</v>
      </c>
      <c r="J67" s="9" t="s">
        <v>335</v>
      </c>
      <c r="K67" s="9" t="s">
        <v>92</v>
      </c>
      <c r="L67" s="13">
        <v>85164</v>
      </c>
      <c r="M67" s="8">
        <v>50</v>
      </c>
      <c r="N67" s="8">
        <v>60</v>
      </c>
      <c r="O67" s="9" t="s">
        <v>110</v>
      </c>
      <c r="P67" s="9" t="s">
        <v>336</v>
      </c>
      <c r="Q67" s="6"/>
    </row>
    <row r="68" spans="1:17" ht="25.5" x14ac:dyDescent="0.25">
      <c r="A68" s="8">
        <v>253</v>
      </c>
      <c r="B68" s="8" t="s">
        <v>337</v>
      </c>
      <c r="C68" s="9" t="s">
        <v>338</v>
      </c>
      <c r="D68" s="9" t="s">
        <v>316</v>
      </c>
      <c r="E68" s="10">
        <v>44328</v>
      </c>
      <c r="F68" s="10">
        <v>44473</v>
      </c>
      <c r="G68" s="11">
        <f t="shared" si="1"/>
        <v>146</v>
      </c>
      <c r="H68" s="9" t="s">
        <v>339</v>
      </c>
      <c r="I68" s="12" t="s">
        <v>340</v>
      </c>
      <c r="J68" s="9" t="s">
        <v>341</v>
      </c>
      <c r="K68" s="9" t="s">
        <v>342</v>
      </c>
      <c r="L68" s="13">
        <v>459869</v>
      </c>
      <c r="M68" s="8">
        <v>200</v>
      </c>
      <c r="N68" s="8">
        <v>200</v>
      </c>
      <c r="O68" s="9" t="s">
        <v>107</v>
      </c>
      <c r="P68" s="9" t="s">
        <v>343</v>
      </c>
      <c r="Q68" s="6"/>
    </row>
    <row r="69" spans="1:17" ht="25.5" x14ac:dyDescent="0.25">
      <c r="A69" s="8">
        <v>252</v>
      </c>
      <c r="B69" s="8" t="s">
        <v>73</v>
      </c>
      <c r="C69" s="9" t="s">
        <v>344</v>
      </c>
      <c r="D69" s="9" t="s">
        <v>345</v>
      </c>
      <c r="E69" s="14">
        <v>44323</v>
      </c>
      <c r="F69" s="14">
        <v>44334</v>
      </c>
      <c r="G69" s="11">
        <f t="shared" si="1"/>
        <v>12</v>
      </c>
      <c r="H69" s="9" t="s">
        <v>346</v>
      </c>
      <c r="I69" s="12" t="s">
        <v>347</v>
      </c>
      <c r="J69" s="9" t="s">
        <v>348</v>
      </c>
      <c r="K69" s="9" t="s">
        <v>256</v>
      </c>
      <c r="L69" s="13">
        <v>447896</v>
      </c>
      <c r="M69" s="8">
        <v>110</v>
      </c>
      <c r="N69" s="8">
        <v>130</v>
      </c>
      <c r="O69" s="9" t="s">
        <v>110</v>
      </c>
      <c r="P69" s="9" t="s">
        <v>71</v>
      </c>
      <c r="Q69" s="6"/>
    </row>
    <row r="70" spans="1:17" ht="25.5" x14ac:dyDescent="0.25">
      <c r="A70" s="8">
        <v>251</v>
      </c>
      <c r="B70" s="8" t="s">
        <v>155</v>
      </c>
      <c r="C70" s="9" t="s">
        <v>350</v>
      </c>
      <c r="D70" s="9" t="s">
        <v>278</v>
      </c>
      <c r="E70" s="10">
        <v>44309</v>
      </c>
      <c r="F70" s="10">
        <v>44334</v>
      </c>
      <c r="G70" s="11">
        <f t="shared" si="1"/>
        <v>26</v>
      </c>
      <c r="H70" s="9" t="s">
        <v>158</v>
      </c>
      <c r="I70" s="12" t="s">
        <v>159</v>
      </c>
      <c r="J70" s="9" t="s">
        <v>351</v>
      </c>
      <c r="K70" s="9" t="s">
        <v>161</v>
      </c>
      <c r="L70" s="13">
        <v>433948</v>
      </c>
      <c r="M70" s="8">
        <v>50</v>
      </c>
      <c r="N70" s="8">
        <v>60</v>
      </c>
      <c r="O70" s="9" t="s">
        <v>110</v>
      </c>
      <c r="P70" s="9" t="s">
        <v>273</v>
      </c>
      <c r="Q70" s="6"/>
    </row>
    <row r="71" spans="1:17" ht="38.25" x14ac:dyDescent="0.25">
      <c r="A71" s="8">
        <v>250</v>
      </c>
      <c r="B71" s="8" t="s">
        <v>136</v>
      </c>
      <c r="C71" s="9" t="s">
        <v>326</v>
      </c>
      <c r="D71" s="9" t="s">
        <v>316</v>
      </c>
      <c r="E71" s="10">
        <v>44295</v>
      </c>
      <c r="F71" s="10">
        <v>44302</v>
      </c>
      <c r="G71" s="11">
        <f t="shared" si="1"/>
        <v>8</v>
      </c>
      <c r="H71" s="9" t="s">
        <v>327</v>
      </c>
      <c r="I71" s="12" t="s">
        <v>328</v>
      </c>
      <c r="J71" s="9" t="s">
        <v>352</v>
      </c>
      <c r="K71" s="9" t="s">
        <v>92</v>
      </c>
      <c r="L71" s="13">
        <v>63819</v>
      </c>
      <c r="M71" s="8">
        <v>50</v>
      </c>
      <c r="N71" s="8">
        <v>60</v>
      </c>
      <c r="O71" s="9" t="s">
        <v>107</v>
      </c>
      <c r="P71" s="9" t="s">
        <v>353</v>
      </c>
      <c r="Q71" s="6"/>
    </row>
    <row r="72" spans="1:17" ht="38.25" x14ac:dyDescent="0.25">
      <c r="A72" s="8">
        <v>249</v>
      </c>
      <c r="B72" s="8" t="s">
        <v>354</v>
      </c>
      <c r="C72" s="9" t="s">
        <v>355</v>
      </c>
      <c r="D72" s="9" t="s">
        <v>356</v>
      </c>
      <c r="E72" s="10">
        <v>44294</v>
      </c>
      <c r="F72" s="10">
        <v>44321</v>
      </c>
      <c r="G72" s="11">
        <f t="shared" si="1"/>
        <v>28</v>
      </c>
      <c r="H72" s="9" t="s">
        <v>357</v>
      </c>
      <c r="I72" s="12" t="s">
        <v>358</v>
      </c>
      <c r="J72" s="9" t="s">
        <v>359</v>
      </c>
      <c r="K72" s="9" t="s">
        <v>70</v>
      </c>
      <c r="L72" s="13">
        <v>720979</v>
      </c>
      <c r="M72" s="8">
        <v>100</v>
      </c>
      <c r="N72" s="8">
        <v>100</v>
      </c>
      <c r="O72" s="9" t="s">
        <v>47</v>
      </c>
      <c r="P72" s="9" t="s">
        <v>229</v>
      </c>
      <c r="Q72" s="6"/>
    </row>
    <row r="73" spans="1:17" ht="25.5" x14ac:dyDescent="0.25">
      <c r="A73" s="8">
        <v>248</v>
      </c>
      <c r="B73" s="8" t="s">
        <v>136</v>
      </c>
      <c r="C73" s="9" t="s">
        <v>326</v>
      </c>
      <c r="D73" s="9" t="s">
        <v>306</v>
      </c>
      <c r="E73" s="10">
        <v>44264</v>
      </c>
      <c r="F73" s="10">
        <v>44269</v>
      </c>
      <c r="G73" s="11">
        <f t="shared" si="1"/>
        <v>6</v>
      </c>
      <c r="H73" s="9" t="s">
        <v>327</v>
      </c>
      <c r="I73" s="12" t="s">
        <v>328</v>
      </c>
      <c r="J73" s="9" t="s">
        <v>360</v>
      </c>
      <c r="K73" s="9" t="s">
        <v>92</v>
      </c>
      <c r="L73" s="13">
        <v>74033</v>
      </c>
      <c r="M73" s="8">
        <v>50</v>
      </c>
      <c r="N73" s="8">
        <v>60</v>
      </c>
      <c r="O73" s="9" t="s">
        <v>110</v>
      </c>
      <c r="P73" s="9" t="s">
        <v>336</v>
      </c>
      <c r="Q73" s="6"/>
    </row>
    <row r="74" spans="1:17" ht="38.25" x14ac:dyDescent="0.25">
      <c r="A74" s="8">
        <v>247</v>
      </c>
      <c r="B74" s="8" t="s">
        <v>361</v>
      </c>
      <c r="C74" s="9" t="s">
        <v>362</v>
      </c>
      <c r="D74" s="9" t="s">
        <v>316</v>
      </c>
      <c r="E74" s="10">
        <v>44223</v>
      </c>
      <c r="F74" s="10">
        <v>44270</v>
      </c>
      <c r="G74" s="11">
        <f t="shared" si="1"/>
        <v>48</v>
      </c>
      <c r="H74" s="9" t="s">
        <v>363</v>
      </c>
      <c r="I74" s="12" t="s">
        <v>364</v>
      </c>
      <c r="J74" s="9" t="s">
        <v>365</v>
      </c>
      <c r="K74" s="9" t="s">
        <v>366</v>
      </c>
      <c r="L74" s="13">
        <v>223010</v>
      </c>
      <c r="M74" s="8">
        <v>90</v>
      </c>
      <c r="N74" s="8">
        <v>90</v>
      </c>
      <c r="O74" s="9" t="s">
        <v>107</v>
      </c>
      <c r="P74" s="9" t="s">
        <v>220</v>
      </c>
      <c r="Q74" s="6"/>
    </row>
    <row r="75" spans="1:17" ht="25.5" x14ac:dyDescent="0.25">
      <c r="A75" s="8">
        <v>246</v>
      </c>
      <c r="B75" s="8" t="s">
        <v>56</v>
      </c>
      <c r="C75" s="9" t="s">
        <v>367</v>
      </c>
      <c r="D75" s="9" t="s">
        <v>368</v>
      </c>
      <c r="E75" s="10">
        <v>44216</v>
      </c>
      <c r="F75" s="10">
        <v>44222</v>
      </c>
      <c r="G75" s="11">
        <f t="shared" si="1"/>
        <v>7</v>
      </c>
      <c r="H75" s="9" t="s">
        <v>369</v>
      </c>
      <c r="I75" s="12" t="s">
        <v>370</v>
      </c>
      <c r="J75" s="9" t="s">
        <v>371</v>
      </c>
      <c r="K75" s="9" t="s">
        <v>85</v>
      </c>
      <c r="L75" s="13">
        <v>230000</v>
      </c>
      <c r="M75" s="8">
        <v>120</v>
      </c>
      <c r="N75" s="8">
        <v>120</v>
      </c>
      <c r="O75" s="9" t="s">
        <v>47</v>
      </c>
      <c r="P75" s="9" t="s">
        <v>71</v>
      </c>
      <c r="Q75" s="6"/>
    </row>
    <row r="76" spans="1:17" ht="25.5" x14ac:dyDescent="0.25">
      <c r="A76" s="8">
        <v>245</v>
      </c>
      <c r="B76" s="8" t="s">
        <v>136</v>
      </c>
      <c r="C76" s="9" t="s">
        <v>372</v>
      </c>
      <c r="D76" s="9" t="s">
        <v>373</v>
      </c>
      <c r="E76" s="10">
        <v>44094</v>
      </c>
      <c r="F76" s="10">
        <v>44148</v>
      </c>
      <c r="G76" s="11">
        <f t="shared" si="1"/>
        <v>55</v>
      </c>
      <c r="H76" s="9" t="s">
        <v>374</v>
      </c>
      <c r="I76" s="12" t="s">
        <v>375</v>
      </c>
      <c r="J76" s="9" t="s">
        <v>376</v>
      </c>
      <c r="K76" s="9" t="s">
        <v>92</v>
      </c>
      <c r="L76" s="13">
        <v>2101570</v>
      </c>
      <c r="M76" s="8">
        <v>50</v>
      </c>
      <c r="N76" s="8">
        <v>60</v>
      </c>
      <c r="O76" s="9" t="s">
        <v>377</v>
      </c>
      <c r="P76" s="9" t="s">
        <v>378</v>
      </c>
      <c r="Q76" s="6"/>
    </row>
    <row r="77" spans="1:17" ht="25.5" x14ac:dyDescent="0.25">
      <c r="A77" s="8">
        <v>244</v>
      </c>
      <c r="B77" s="8" t="s">
        <v>379</v>
      </c>
      <c r="C77" s="9" t="s">
        <v>380</v>
      </c>
      <c r="D77" s="9" t="s">
        <v>381</v>
      </c>
      <c r="E77" s="10">
        <v>44064</v>
      </c>
      <c r="F77" s="10">
        <v>44068</v>
      </c>
      <c r="G77" s="11">
        <f t="shared" si="1"/>
        <v>5</v>
      </c>
      <c r="H77" s="9" t="s">
        <v>382</v>
      </c>
      <c r="I77" s="12" t="s">
        <v>383</v>
      </c>
      <c r="J77" s="9" t="s">
        <v>384</v>
      </c>
      <c r="K77" s="9" t="s">
        <v>385</v>
      </c>
      <c r="L77" s="13">
        <v>136571</v>
      </c>
      <c r="M77" s="8">
        <v>60</v>
      </c>
      <c r="N77" s="8">
        <v>70</v>
      </c>
      <c r="O77" s="9" t="s">
        <v>110</v>
      </c>
      <c r="P77" s="9" t="s">
        <v>178</v>
      </c>
      <c r="Q77" s="6"/>
    </row>
    <row r="78" spans="1:17" ht="25.5" x14ac:dyDescent="0.25">
      <c r="A78" s="8">
        <v>243</v>
      </c>
      <c r="B78" s="8" t="s">
        <v>56</v>
      </c>
      <c r="C78" s="9" t="s">
        <v>386</v>
      </c>
      <c r="D78" s="9" t="s">
        <v>387</v>
      </c>
      <c r="E78" s="10">
        <v>44029</v>
      </c>
      <c r="F78" s="10">
        <v>44037</v>
      </c>
      <c r="G78" s="11">
        <f t="shared" si="1"/>
        <v>9</v>
      </c>
      <c r="H78" s="9" t="s">
        <v>369</v>
      </c>
      <c r="I78" s="12" t="s">
        <v>370</v>
      </c>
      <c r="J78" s="9" t="s">
        <v>388</v>
      </c>
      <c r="K78" s="9" t="s">
        <v>85</v>
      </c>
      <c r="L78" s="13">
        <v>309538</v>
      </c>
      <c r="M78" s="8">
        <v>113</v>
      </c>
      <c r="N78" s="8">
        <v>113</v>
      </c>
      <c r="O78" s="9" t="s">
        <v>110</v>
      </c>
      <c r="P78" s="9" t="s">
        <v>71</v>
      </c>
      <c r="Q78" s="6"/>
    </row>
    <row r="79" spans="1:17" ht="25.5" x14ac:dyDescent="0.25">
      <c r="A79" s="8">
        <v>242</v>
      </c>
      <c r="B79" s="8" t="s">
        <v>361</v>
      </c>
      <c r="C79" s="9" t="s">
        <v>389</v>
      </c>
      <c r="D79" s="9" t="s">
        <v>316</v>
      </c>
      <c r="E79" s="10">
        <v>44025</v>
      </c>
      <c r="F79" s="10">
        <v>44036</v>
      </c>
      <c r="G79" s="11">
        <f t="shared" si="1"/>
        <v>12</v>
      </c>
      <c r="H79" s="9" t="s">
        <v>390</v>
      </c>
      <c r="I79" s="12" t="s">
        <v>391</v>
      </c>
      <c r="J79" s="9" t="s">
        <v>392</v>
      </c>
      <c r="K79" s="9" t="s">
        <v>393</v>
      </c>
      <c r="L79" s="13">
        <v>50547</v>
      </c>
      <c r="M79" s="8">
        <v>92</v>
      </c>
      <c r="N79" s="8">
        <v>92</v>
      </c>
      <c r="O79" s="9" t="s">
        <v>107</v>
      </c>
      <c r="P79" s="9" t="s">
        <v>394</v>
      </c>
      <c r="Q79" s="6"/>
    </row>
    <row r="80" spans="1:17" ht="63.75" x14ac:dyDescent="0.25">
      <c r="A80" s="8">
        <v>241</v>
      </c>
      <c r="B80" s="8" t="s">
        <v>25</v>
      </c>
      <c r="C80" s="9" t="s">
        <v>395</v>
      </c>
      <c r="D80" s="9" t="s">
        <v>396</v>
      </c>
      <c r="E80" s="10">
        <v>44007</v>
      </c>
      <c r="F80" s="10">
        <v>44107</v>
      </c>
      <c r="G80" s="11">
        <f t="shared" si="1"/>
        <v>101</v>
      </c>
      <c r="H80" s="9" t="s">
        <v>294</v>
      </c>
      <c r="I80" s="12" t="s">
        <v>182</v>
      </c>
      <c r="J80" s="9" t="s">
        <v>397</v>
      </c>
      <c r="K80" s="9" t="s">
        <v>398</v>
      </c>
      <c r="L80" s="13">
        <v>5987932</v>
      </c>
      <c r="M80" s="8">
        <v>50</v>
      </c>
      <c r="N80" s="8">
        <v>120</v>
      </c>
      <c r="O80" s="9" t="s">
        <v>47</v>
      </c>
      <c r="P80" s="9" t="s">
        <v>168</v>
      </c>
      <c r="Q80" s="6"/>
    </row>
    <row r="81" spans="1:17" x14ac:dyDescent="0.25">
      <c r="A81" s="8">
        <v>240</v>
      </c>
      <c r="B81" s="8" t="s">
        <v>155</v>
      </c>
      <c r="C81" s="9" t="s">
        <v>399</v>
      </c>
      <c r="D81" s="9" t="s">
        <v>400</v>
      </c>
      <c r="E81" s="10">
        <v>43985</v>
      </c>
      <c r="F81" s="10">
        <v>43990</v>
      </c>
      <c r="G81" s="11">
        <f t="shared" si="1"/>
        <v>6</v>
      </c>
      <c r="H81" s="9" t="s">
        <v>317</v>
      </c>
      <c r="I81" s="12" t="s">
        <v>318</v>
      </c>
      <c r="J81" s="9" t="s">
        <v>401</v>
      </c>
      <c r="K81" s="9" t="s">
        <v>161</v>
      </c>
      <c r="L81" s="13">
        <v>87860</v>
      </c>
      <c r="M81" s="8">
        <v>50</v>
      </c>
      <c r="N81" s="8">
        <v>50</v>
      </c>
      <c r="O81" s="9" t="s">
        <v>107</v>
      </c>
      <c r="P81" s="9" t="s">
        <v>402</v>
      </c>
      <c r="Q81" s="6"/>
    </row>
    <row r="82" spans="1:17" ht="51" x14ac:dyDescent="0.25">
      <c r="A82" s="8">
        <v>239</v>
      </c>
      <c r="B82" s="8" t="s">
        <v>403</v>
      </c>
      <c r="C82" s="9" t="s">
        <v>404</v>
      </c>
      <c r="D82" s="9" t="s">
        <v>298</v>
      </c>
      <c r="E82" s="10">
        <v>43973</v>
      </c>
      <c r="F82" s="10">
        <v>44001</v>
      </c>
      <c r="G82" s="11">
        <f t="shared" si="1"/>
        <v>29</v>
      </c>
      <c r="H82" s="9" t="s">
        <v>405</v>
      </c>
      <c r="I82" s="12" t="s">
        <v>300</v>
      </c>
      <c r="J82" s="9" t="s">
        <v>406</v>
      </c>
      <c r="K82" s="9" t="s">
        <v>302</v>
      </c>
      <c r="L82" s="13">
        <v>1446578</v>
      </c>
      <c r="M82" s="8">
        <v>110</v>
      </c>
      <c r="N82" s="8">
        <v>110</v>
      </c>
      <c r="O82" s="9" t="s">
        <v>377</v>
      </c>
      <c r="P82" s="9" t="s">
        <v>407</v>
      </c>
      <c r="Q82" s="6"/>
    </row>
    <row r="83" spans="1:17" ht="25.5" x14ac:dyDescent="0.25">
      <c r="A83" s="8">
        <v>238</v>
      </c>
      <c r="B83" s="8" t="s">
        <v>79</v>
      </c>
      <c r="C83" s="9" t="s">
        <v>311</v>
      </c>
      <c r="D83" s="9" t="s">
        <v>50</v>
      </c>
      <c r="E83" s="10">
        <v>43926</v>
      </c>
      <c r="F83" s="10">
        <v>43930</v>
      </c>
      <c r="G83" s="11">
        <f t="shared" si="1"/>
        <v>5</v>
      </c>
      <c r="H83" s="9" t="s">
        <v>312</v>
      </c>
      <c r="I83" s="12" t="s">
        <v>206</v>
      </c>
      <c r="J83" s="9" t="s">
        <v>313</v>
      </c>
      <c r="K83" s="9" t="s">
        <v>85</v>
      </c>
      <c r="L83" s="13">
        <v>83226</v>
      </c>
      <c r="M83" s="8">
        <v>113</v>
      </c>
      <c r="N83" s="8">
        <v>113</v>
      </c>
      <c r="O83" s="9" t="s">
        <v>110</v>
      </c>
      <c r="P83" s="9" t="s">
        <v>408</v>
      </c>
      <c r="Q83" s="6"/>
    </row>
    <row r="84" spans="1:17" ht="25.5" x14ac:dyDescent="0.25">
      <c r="A84" s="8">
        <v>237</v>
      </c>
      <c r="B84" s="8" t="s">
        <v>56</v>
      </c>
      <c r="C84" s="9" t="s">
        <v>409</v>
      </c>
      <c r="D84" s="9" t="s">
        <v>410</v>
      </c>
      <c r="E84" s="10">
        <v>43922</v>
      </c>
      <c r="F84" s="10">
        <v>43931</v>
      </c>
      <c r="G84" s="11">
        <f t="shared" si="1"/>
        <v>10</v>
      </c>
      <c r="H84" s="9" t="s">
        <v>369</v>
      </c>
      <c r="I84" s="12" t="s">
        <v>370</v>
      </c>
      <c r="J84" s="9" t="s">
        <v>411</v>
      </c>
      <c r="K84" s="9" t="s">
        <v>85</v>
      </c>
      <c r="L84" s="13">
        <v>314995</v>
      </c>
      <c r="M84" s="8">
        <v>113</v>
      </c>
      <c r="N84" s="8">
        <v>113</v>
      </c>
      <c r="O84" s="9" t="s">
        <v>47</v>
      </c>
      <c r="P84" s="9" t="s">
        <v>63</v>
      </c>
      <c r="Q84" s="6"/>
    </row>
    <row r="85" spans="1:17" ht="38.25" x14ac:dyDescent="0.25">
      <c r="A85" s="8">
        <v>236</v>
      </c>
      <c r="B85" s="8" t="s">
        <v>164</v>
      </c>
      <c r="C85" s="9" t="s">
        <v>412</v>
      </c>
      <c r="D85" s="9" t="s">
        <v>413</v>
      </c>
      <c r="E85" s="10">
        <v>43917</v>
      </c>
      <c r="F85" s="10">
        <v>43921</v>
      </c>
      <c r="G85" s="11">
        <f t="shared" si="1"/>
        <v>5</v>
      </c>
      <c r="H85" s="9" t="s">
        <v>115</v>
      </c>
      <c r="I85" s="12" t="s">
        <v>116</v>
      </c>
      <c r="J85" s="9" t="s">
        <v>414</v>
      </c>
      <c r="K85" s="9" t="s">
        <v>78</v>
      </c>
      <c r="L85" s="13">
        <v>88553</v>
      </c>
      <c r="M85" s="8">
        <v>110</v>
      </c>
      <c r="N85" s="8">
        <v>130</v>
      </c>
      <c r="O85" s="9" t="s">
        <v>47</v>
      </c>
      <c r="P85" s="9" t="s">
        <v>118</v>
      </c>
      <c r="Q85" s="6"/>
    </row>
    <row r="86" spans="1:17" ht="25.5" x14ac:dyDescent="0.25">
      <c r="A86" s="8">
        <v>235</v>
      </c>
      <c r="B86" s="8" t="s">
        <v>155</v>
      </c>
      <c r="C86" s="9" t="s">
        <v>399</v>
      </c>
      <c r="D86" s="9" t="s">
        <v>400</v>
      </c>
      <c r="E86" s="10">
        <v>43911</v>
      </c>
      <c r="F86" s="10">
        <v>43918</v>
      </c>
      <c r="G86" s="11">
        <f t="shared" si="1"/>
        <v>8</v>
      </c>
      <c r="H86" s="9" t="s">
        <v>317</v>
      </c>
      <c r="I86" s="12" t="s">
        <v>318</v>
      </c>
      <c r="J86" s="9" t="s">
        <v>415</v>
      </c>
      <c r="K86" s="9" t="s">
        <v>161</v>
      </c>
      <c r="L86" s="13">
        <v>121157</v>
      </c>
      <c r="M86" s="8">
        <v>50</v>
      </c>
      <c r="N86" s="8">
        <v>50</v>
      </c>
      <c r="O86" s="9" t="s">
        <v>110</v>
      </c>
      <c r="P86" s="9" t="s">
        <v>402</v>
      </c>
      <c r="Q86" s="6"/>
    </row>
    <row r="87" spans="1:17" ht="25.5" x14ac:dyDescent="0.25">
      <c r="A87" s="8">
        <v>234</v>
      </c>
      <c r="B87" s="8" t="s">
        <v>416</v>
      </c>
      <c r="C87" s="9" t="s">
        <v>417</v>
      </c>
      <c r="D87" s="9" t="s">
        <v>418</v>
      </c>
      <c r="E87" s="10">
        <v>43893</v>
      </c>
      <c r="F87" s="10">
        <v>43899</v>
      </c>
      <c r="G87" s="11">
        <f t="shared" si="1"/>
        <v>7</v>
      </c>
      <c r="H87" s="9" t="s">
        <v>419</v>
      </c>
      <c r="I87" s="12" t="s">
        <v>420</v>
      </c>
      <c r="J87" s="9" t="s">
        <v>421</v>
      </c>
      <c r="K87" s="9" t="s">
        <v>422</v>
      </c>
      <c r="L87" s="13">
        <v>208654.53</v>
      </c>
      <c r="M87" s="8">
        <v>87</v>
      </c>
      <c r="N87" s="8">
        <v>87</v>
      </c>
      <c r="O87" s="9" t="s">
        <v>47</v>
      </c>
      <c r="P87" s="9" t="s">
        <v>63</v>
      </c>
      <c r="Q87" s="6"/>
    </row>
    <row r="88" spans="1:17" ht="38.25" x14ac:dyDescent="0.25">
      <c r="A88" s="8">
        <v>233</v>
      </c>
      <c r="B88" s="8" t="s">
        <v>361</v>
      </c>
      <c r="C88" s="9" t="s">
        <v>389</v>
      </c>
      <c r="D88" s="9" t="s">
        <v>316</v>
      </c>
      <c r="E88" s="10">
        <v>43823</v>
      </c>
      <c r="F88" s="10">
        <v>43903</v>
      </c>
      <c r="G88" s="11">
        <f t="shared" si="1"/>
        <v>81</v>
      </c>
      <c r="H88" s="9" t="s">
        <v>423</v>
      </c>
      <c r="I88" s="12" t="s">
        <v>391</v>
      </c>
      <c r="J88" s="9" t="s">
        <v>424</v>
      </c>
      <c r="K88" s="9" t="s">
        <v>393</v>
      </c>
      <c r="L88" s="13">
        <v>291759</v>
      </c>
      <c r="M88" s="8">
        <v>92</v>
      </c>
      <c r="N88" s="8">
        <v>92</v>
      </c>
      <c r="O88" s="9" t="s">
        <v>107</v>
      </c>
      <c r="P88" s="9" t="s">
        <v>394</v>
      </c>
      <c r="Q88" s="6"/>
    </row>
    <row r="89" spans="1:17" ht="38.25" x14ac:dyDescent="0.25">
      <c r="A89" s="8">
        <v>232</v>
      </c>
      <c r="B89" s="8" t="s">
        <v>16</v>
      </c>
      <c r="C89" s="9" t="s">
        <v>425</v>
      </c>
      <c r="D89" s="9" t="s">
        <v>426</v>
      </c>
      <c r="E89" s="10">
        <v>43775</v>
      </c>
      <c r="F89" s="10">
        <v>43797</v>
      </c>
      <c r="G89" s="11">
        <f t="shared" si="1"/>
        <v>23</v>
      </c>
      <c r="H89" s="9" t="s">
        <v>427</v>
      </c>
      <c r="I89" s="12" t="s">
        <v>428</v>
      </c>
      <c r="J89" s="9" t="s">
        <v>429</v>
      </c>
      <c r="K89" s="9" t="s">
        <v>22</v>
      </c>
      <c r="L89" s="13">
        <v>1809600</v>
      </c>
      <c r="M89" s="8">
        <v>55</v>
      </c>
      <c r="N89" s="8">
        <v>55</v>
      </c>
      <c r="O89" s="9" t="s">
        <v>430</v>
      </c>
      <c r="P89" s="9" t="s">
        <v>402</v>
      </c>
      <c r="Q89" s="6"/>
    </row>
    <row r="90" spans="1:17" ht="25.5" x14ac:dyDescent="0.25">
      <c r="A90" s="8">
        <v>231</v>
      </c>
      <c r="B90" s="8" t="s">
        <v>431</v>
      </c>
      <c r="C90" s="9" t="s">
        <v>432</v>
      </c>
      <c r="D90" s="9" t="s">
        <v>433</v>
      </c>
      <c r="E90" s="10">
        <v>43745</v>
      </c>
      <c r="F90" s="10">
        <v>43771</v>
      </c>
      <c r="G90" s="11">
        <f t="shared" si="1"/>
        <v>27</v>
      </c>
      <c r="H90" s="9" t="s">
        <v>434</v>
      </c>
      <c r="I90" s="12" t="s">
        <v>435</v>
      </c>
      <c r="J90" s="9" t="s">
        <v>433</v>
      </c>
      <c r="K90" s="9" t="s">
        <v>436</v>
      </c>
      <c r="L90" s="13">
        <v>3835536</v>
      </c>
      <c r="M90" s="8">
        <v>70</v>
      </c>
      <c r="N90" s="8">
        <v>70</v>
      </c>
      <c r="O90" s="9" t="s">
        <v>437</v>
      </c>
      <c r="P90" s="9" t="s">
        <v>438</v>
      </c>
      <c r="Q90" s="6"/>
    </row>
    <row r="91" spans="1:17" ht="25.5" x14ac:dyDescent="0.25">
      <c r="A91" s="8">
        <v>230</v>
      </c>
      <c r="B91" s="8" t="s">
        <v>439</v>
      </c>
      <c r="C91" s="9" t="s">
        <v>440</v>
      </c>
      <c r="D91" s="9" t="s">
        <v>441</v>
      </c>
      <c r="E91" s="10">
        <v>43741</v>
      </c>
      <c r="F91" s="10">
        <v>43752</v>
      </c>
      <c r="G91" s="11">
        <f t="shared" si="1"/>
        <v>12</v>
      </c>
      <c r="H91" s="9" t="s">
        <v>442</v>
      </c>
      <c r="I91" s="12" t="s">
        <v>443</v>
      </c>
      <c r="J91" s="9" t="s">
        <v>444</v>
      </c>
      <c r="K91" s="9" t="s">
        <v>436</v>
      </c>
      <c r="L91" s="13">
        <v>344858</v>
      </c>
      <c r="M91" s="8">
        <v>70</v>
      </c>
      <c r="N91" s="8">
        <v>70</v>
      </c>
      <c r="O91" s="9" t="s">
        <v>47</v>
      </c>
      <c r="P91" s="9" t="s">
        <v>24</v>
      </c>
      <c r="Q91" s="6"/>
    </row>
    <row r="92" spans="1:17" ht="25.5" x14ac:dyDescent="0.25">
      <c r="A92" s="8">
        <v>229</v>
      </c>
      <c r="B92" s="8" t="s">
        <v>164</v>
      </c>
      <c r="C92" s="9" t="s">
        <v>445</v>
      </c>
      <c r="D92" s="9" t="s">
        <v>446</v>
      </c>
      <c r="E92" s="10">
        <v>43741</v>
      </c>
      <c r="F92" s="10">
        <v>43754</v>
      </c>
      <c r="G92" s="11">
        <f t="shared" si="1"/>
        <v>14</v>
      </c>
      <c r="H92" s="9" t="s">
        <v>115</v>
      </c>
      <c r="I92" s="12" t="s">
        <v>116</v>
      </c>
      <c r="J92" s="9" t="s">
        <v>447</v>
      </c>
      <c r="K92" s="9" t="s">
        <v>78</v>
      </c>
      <c r="L92" s="13">
        <v>448626</v>
      </c>
      <c r="M92" s="8">
        <v>110</v>
      </c>
      <c r="N92" s="8">
        <v>130</v>
      </c>
      <c r="O92" s="9" t="s">
        <v>448</v>
      </c>
      <c r="P92" s="9" t="s">
        <v>118</v>
      </c>
      <c r="Q92" s="6"/>
    </row>
    <row r="93" spans="1:17" x14ac:dyDescent="0.25">
      <c r="A93" s="8">
        <v>228</v>
      </c>
      <c r="B93" s="8" t="s">
        <v>155</v>
      </c>
      <c r="C93" s="9" t="s">
        <v>449</v>
      </c>
      <c r="D93" s="9" t="s">
        <v>316</v>
      </c>
      <c r="E93" s="10">
        <v>43689</v>
      </c>
      <c r="F93" s="10">
        <v>43703</v>
      </c>
      <c r="G93" s="11">
        <f t="shared" si="1"/>
        <v>15</v>
      </c>
      <c r="H93" s="9" t="s">
        <v>317</v>
      </c>
      <c r="I93" s="12" t="s">
        <v>318</v>
      </c>
      <c r="J93" s="9" t="s">
        <v>450</v>
      </c>
      <c r="K93" s="9" t="s">
        <v>161</v>
      </c>
      <c r="L93" s="13">
        <v>69197.37</v>
      </c>
      <c r="M93" s="8">
        <v>50</v>
      </c>
      <c r="N93" s="8">
        <v>50</v>
      </c>
      <c r="O93" s="9" t="s">
        <v>107</v>
      </c>
      <c r="P93" s="9" t="s">
        <v>451</v>
      </c>
      <c r="Q93" s="6"/>
    </row>
    <row r="94" spans="1:17" ht="63.75" x14ac:dyDescent="0.25">
      <c r="A94" s="8">
        <v>227</v>
      </c>
      <c r="B94" s="8" t="s">
        <v>192</v>
      </c>
      <c r="C94" s="9" t="s">
        <v>452</v>
      </c>
      <c r="D94" s="9" t="s">
        <v>194</v>
      </c>
      <c r="E94" s="10">
        <v>43667</v>
      </c>
      <c r="F94" s="10">
        <v>43702</v>
      </c>
      <c r="G94" s="11">
        <f t="shared" si="1"/>
        <v>36</v>
      </c>
      <c r="H94" s="9" t="s">
        <v>195</v>
      </c>
      <c r="I94" s="12" t="s">
        <v>196</v>
      </c>
      <c r="J94" s="9" t="s">
        <v>453</v>
      </c>
      <c r="K94" s="9" t="s">
        <v>454</v>
      </c>
      <c r="L94" s="13">
        <v>661785.5</v>
      </c>
      <c r="M94" s="8">
        <v>50</v>
      </c>
      <c r="N94" s="8">
        <v>50</v>
      </c>
      <c r="O94" s="9" t="s">
        <v>437</v>
      </c>
      <c r="P94" s="9" t="s">
        <v>63</v>
      </c>
      <c r="Q94" s="6"/>
    </row>
    <row r="95" spans="1:17" ht="63.75" x14ac:dyDescent="0.25">
      <c r="A95" s="8">
        <v>226</v>
      </c>
      <c r="B95" s="8" t="s">
        <v>16</v>
      </c>
      <c r="C95" s="9" t="s">
        <v>455</v>
      </c>
      <c r="D95" s="9" t="s">
        <v>270</v>
      </c>
      <c r="E95" s="10">
        <v>43632</v>
      </c>
      <c r="F95" s="10">
        <v>43653</v>
      </c>
      <c r="G95" s="11">
        <f t="shared" si="1"/>
        <v>22</v>
      </c>
      <c r="H95" s="9" t="s">
        <v>427</v>
      </c>
      <c r="I95" s="12" t="s">
        <v>428</v>
      </c>
      <c r="J95" s="9" t="s">
        <v>453</v>
      </c>
      <c r="K95" s="9" t="s">
        <v>22</v>
      </c>
      <c r="L95" s="13">
        <v>1163954</v>
      </c>
      <c r="M95" s="8">
        <v>55</v>
      </c>
      <c r="N95" s="8">
        <v>55</v>
      </c>
      <c r="O95" s="9" t="s">
        <v>437</v>
      </c>
      <c r="P95" s="9" t="s">
        <v>63</v>
      </c>
      <c r="Q95" s="6"/>
    </row>
    <row r="96" spans="1:17" ht="25.5" x14ac:dyDescent="0.25">
      <c r="A96" s="8">
        <v>225</v>
      </c>
      <c r="B96" s="8" t="s">
        <v>56</v>
      </c>
      <c r="C96" s="9" t="s">
        <v>456</v>
      </c>
      <c r="D96" s="9" t="s">
        <v>306</v>
      </c>
      <c r="E96" s="10">
        <v>43628</v>
      </c>
      <c r="F96" s="10">
        <v>43636</v>
      </c>
      <c r="G96" s="11">
        <f t="shared" si="1"/>
        <v>9</v>
      </c>
      <c r="H96" s="9" t="s">
        <v>457</v>
      </c>
      <c r="I96" s="12" t="s">
        <v>458</v>
      </c>
      <c r="J96" s="9" t="s">
        <v>459</v>
      </c>
      <c r="K96" s="9" t="s">
        <v>460</v>
      </c>
      <c r="L96" s="13">
        <v>255484.91</v>
      </c>
      <c r="M96" s="8">
        <v>113</v>
      </c>
      <c r="N96" s="8">
        <v>113</v>
      </c>
      <c r="O96" s="9" t="s">
        <v>461</v>
      </c>
      <c r="P96" s="9" t="s">
        <v>462</v>
      </c>
      <c r="Q96" s="6"/>
    </row>
    <row r="97" spans="1:17" ht="25.5" x14ac:dyDescent="0.25">
      <c r="A97" s="8">
        <v>224</v>
      </c>
      <c r="B97" s="8" t="s">
        <v>463</v>
      </c>
      <c r="C97" s="9" t="s">
        <v>464</v>
      </c>
      <c r="D97" s="9" t="s">
        <v>465</v>
      </c>
      <c r="E97" s="10">
        <v>43598</v>
      </c>
      <c r="F97" s="10">
        <v>43602</v>
      </c>
      <c r="G97" s="11">
        <f t="shared" si="1"/>
        <v>5</v>
      </c>
      <c r="H97" s="9" t="s">
        <v>466</v>
      </c>
      <c r="I97" s="12" t="s">
        <v>467</v>
      </c>
      <c r="J97" s="9" t="s">
        <v>468</v>
      </c>
      <c r="K97" s="9" t="s">
        <v>469</v>
      </c>
      <c r="L97" s="13">
        <v>191260</v>
      </c>
      <c r="M97" s="8">
        <v>40</v>
      </c>
      <c r="N97" s="8">
        <v>40</v>
      </c>
      <c r="O97" s="9" t="s">
        <v>47</v>
      </c>
      <c r="P97" s="9" t="s">
        <v>168</v>
      </c>
      <c r="Q97" s="6"/>
    </row>
    <row r="98" spans="1:17" ht="76.5" x14ac:dyDescent="0.25">
      <c r="A98" s="8">
        <v>223</v>
      </c>
      <c r="B98" s="8" t="s">
        <v>155</v>
      </c>
      <c r="C98" s="9" t="s">
        <v>470</v>
      </c>
      <c r="D98" s="9" t="s">
        <v>471</v>
      </c>
      <c r="E98" s="10">
        <v>43592</v>
      </c>
      <c r="F98" s="10">
        <v>43626</v>
      </c>
      <c r="G98" s="11">
        <f t="shared" si="1"/>
        <v>35</v>
      </c>
      <c r="H98" s="9" t="s">
        <v>472</v>
      </c>
      <c r="I98" s="12" t="s">
        <v>473</v>
      </c>
      <c r="J98" s="9" t="s">
        <v>474</v>
      </c>
      <c r="K98" s="9" t="s">
        <v>161</v>
      </c>
      <c r="L98" s="13">
        <v>1157502</v>
      </c>
      <c r="M98" s="8">
        <v>60</v>
      </c>
      <c r="N98" s="8">
        <v>60</v>
      </c>
      <c r="O98" s="9" t="s">
        <v>110</v>
      </c>
      <c r="P98" s="9" t="s">
        <v>63</v>
      </c>
      <c r="Q98" s="6"/>
    </row>
    <row r="99" spans="1:17" ht="25.5" x14ac:dyDescent="0.25">
      <c r="A99" s="8">
        <v>222</v>
      </c>
      <c r="B99" s="8" t="s">
        <v>25</v>
      </c>
      <c r="C99" s="9" t="s">
        <v>475</v>
      </c>
      <c r="D99" s="9" t="s">
        <v>476</v>
      </c>
      <c r="E99" s="10">
        <v>43583</v>
      </c>
      <c r="F99" s="10">
        <v>43705</v>
      </c>
      <c r="G99" s="11">
        <f t="shared" si="1"/>
        <v>123</v>
      </c>
      <c r="H99" s="9" t="s">
        <v>477</v>
      </c>
      <c r="I99" s="12" t="s">
        <v>182</v>
      </c>
      <c r="J99" s="9" t="s">
        <v>478</v>
      </c>
      <c r="K99" s="9" t="s">
        <v>479</v>
      </c>
      <c r="L99" s="13">
        <v>5377618</v>
      </c>
      <c r="M99" s="8">
        <v>120</v>
      </c>
      <c r="N99" s="8">
        <v>120</v>
      </c>
      <c r="O99" s="9" t="s">
        <v>47</v>
      </c>
      <c r="P99" s="9" t="s">
        <v>168</v>
      </c>
      <c r="Q99" s="6"/>
    </row>
    <row r="100" spans="1:17" ht="51" x14ac:dyDescent="0.25">
      <c r="A100" s="8">
        <v>221</v>
      </c>
      <c r="B100" s="8" t="s">
        <v>73</v>
      </c>
      <c r="C100" s="9" t="s">
        <v>480</v>
      </c>
      <c r="D100" s="9" t="s">
        <v>200</v>
      </c>
      <c r="E100" s="10">
        <v>43566</v>
      </c>
      <c r="F100" s="10">
        <v>43584</v>
      </c>
      <c r="G100" s="11">
        <f t="shared" si="1"/>
        <v>19</v>
      </c>
      <c r="H100" s="9" t="s">
        <v>346</v>
      </c>
      <c r="I100" s="12" t="s">
        <v>347</v>
      </c>
      <c r="J100" s="9" t="s">
        <v>481</v>
      </c>
      <c r="K100" s="9" t="s">
        <v>436</v>
      </c>
      <c r="L100" s="13">
        <v>777027</v>
      </c>
      <c r="M100" s="8">
        <v>70</v>
      </c>
      <c r="N100" s="8">
        <v>70</v>
      </c>
      <c r="O100" s="9" t="s">
        <v>110</v>
      </c>
      <c r="P100" s="9" t="s">
        <v>63</v>
      </c>
      <c r="Q100" s="6"/>
    </row>
    <row r="101" spans="1:17" ht="51" x14ac:dyDescent="0.25">
      <c r="A101" s="8">
        <v>220</v>
      </c>
      <c r="B101" s="8" t="s">
        <v>361</v>
      </c>
      <c r="C101" s="9" t="s">
        <v>482</v>
      </c>
      <c r="D101" s="9" t="s">
        <v>316</v>
      </c>
      <c r="E101" s="10">
        <v>43568</v>
      </c>
      <c r="F101" s="10">
        <v>43671</v>
      </c>
      <c r="G101" s="11">
        <f t="shared" si="1"/>
        <v>104</v>
      </c>
      <c r="H101" s="9" t="s">
        <v>483</v>
      </c>
      <c r="I101" s="12" t="s">
        <v>484</v>
      </c>
      <c r="J101" s="9" t="s">
        <v>485</v>
      </c>
      <c r="K101" s="9" t="s">
        <v>393</v>
      </c>
      <c r="L101" s="13">
        <v>209817</v>
      </c>
      <c r="M101" s="8">
        <v>92</v>
      </c>
      <c r="N101" s="8">
        <v>92</v>
      </c>
      <c r="O101" s="9" t="s">
        <v>107</v>
      </c>
      <c r="P101" s="9" t="s">
        <v>220</v>
      </c>
      <c r="Q101" s="6"/>
    </row>
    <row r="102" spans="1:17" ht="76.5" x14ac:dyDescent="0.25">
      <c r="A102" s="8">
        <v>219</v>
      </c>
      <c r="B102" s="8" t="s">
        <v>164</v>
      </c>
      <c r="C102" s="9" t="s">
        <v>486</v>
      </c>
      <c r="D102" s="9" t="s">
        <v>278</v>
      </c>
      <c r="E102" s="10">
        <v>43563</v>
      </c>
      <c r="F102" s="10">
        <v>43590</v>
      </c>
      <c r="G102" s="11">
        <f t="shared" si="1"/>
        <v>28</v>
      </c>
      <c r="H102" s="9" t="s">
        <v>115</v>
      </c>
      <c r="I102" s="12" t="s">
        <v>116</v>
      </c>
      <c r="J102" s="9" t="s">
        <v>487</v>
      </c>
      <c r="K102" s="9" t="s">
        <v>78</v>
      </c>
      <c r="L102" s="13">
        <v>669900</v>
      </c>
      <c r="M102" s="8">
        <v>110</v>
      </c>
      <c r="N102" s="8">
        <v>130</v>
      </c>
      <c r="O102" s="9" t="s">
        <v>448</v>
      </c>
      <c r="P102" s="9" t="s">
        <v>118</v>
      </c>
      <c r="Q102" s="6"/>
    </row>
    <row r="103" spans="1:17" ht="51" x14ac:dyDescent="0.25">
      <c r="A103" s="8">
        <v>218</v>
      </c>
      <c r="B103" s="8" t="s">
        <v>354</v>
      </c>
      <c r="C103" s="9" t="s">
        <v>488</v>
      </c>
      <c r="D103" s="9" t="s">
        <v>489</v>
      </c>
      <c r="E103" s="10">
        <v>43561</v>
      </c>
      <c r="F103" s="10">
        <v>43584</v>
      </c>
      <c r="G103" s="11">
        <f t="shared" si="1"/>
        <v>24</v>
      </c>
      <c r="H103" s="9" t="s">
        <v>490</v>
      </c>
      <c r="I103" s="12" t="s">
        <v>491</v>
      </c>
      <c r="J103" s="9" t="s">
        <v>492</v>
      </c>
      <c r="K103" s="9" t="s">
        <v>70</v>
      </c>
      <c r="L103" s="13">
        <v>897274.87</v>
      </c>
      <c r="M103" s="8">
        <v>100</v>
      </c>
      <c r="N103" s="8">
        <v>100</v>
      </c>
      <c r="O103" s="9" t="s">
        <v>47</v>
      </c>
      <c r="P103" s="9" t="s">
        <v>24</v>
      </c>
      <c r="Q103" s="6"/>
    </row>
    <row r="104" spans="1:17" ht="38.25" x14ac:dyDescent="0.25">
      <c r="A104" s="8">
        <v>217</v>
      </c>
      <c r="B104" s="8" t="s">
        <v>173</v>
      </c>
      <c r="C104" s="9" t="s">
        <v>493</v>
      </c>
      <c r="D104" s="9" t="s">
        <v>316</v>
      </c>
      <c r="E104" s="10">
        <v>43451</v>
      </c>
      <c r="F104" s="10">
        <v>43473</v>
      </c>
      <c r="G104" s="11">
        <f t="shared" si="1"/>
        <v>23</v>
      </c>
      <c r="H104" s="9" t="s">
        <v>494</v>
      </c>
      <c r="I104" s="12" t="s">
        <v>495</v>
      </c>
      <c r="J104" s="9" t="s">
        <v>496</v>
      </c>
      <c r="K104" s="9" t="s">
        <v>497</v>
      </c>
      <c r="L104" s="13">
        <v>81740</v>
      </c>
      <c r="M104" s="8">
        <v>32</v>
      </c>
      <c r="N104" s="8">
        <v>32</v>
      </c>
      <c r="O104" s="9" t="s">
        <v>107</v>
      </c>
      <c r="P104" s="9" t="s">
        <v>498</v>
      </c>
      <c r="Q104" s="6"/>
    </row>
    <row r="105" spans="1:17" ht="25.5" x14ac:dyDescent="0.25">
      <c r="A105" s="8">
        <v>216</v>
      </c>
      <c r="B105" s="8" t="s">
        <v>122</v>
      </c>
      <c r="C105" s="9" t="s">
        <v>499</v>
      </c>
      <c r="D105" s="9" t="s">
        <v>500</v>
      </c>
      <c r="E105" s="10">
        <v>43381</v>
      </c>
      <c r="F105" s="10">
        <v>43388</v>
      </c>
      <c r="G105" s="11">
        <f t="shared" si="1"/>
        <v>8</v>
      </c>
      <c r="H105" s="9" t="s">
        <v>501</v>
      </c>
      <c r="I105" s="12" t="s">
        <v>502</v>
      </c>
      <c r="J105" s="9" t="s">
        <v>503</v>
      </c>
      <c r="K105" s="9" t="s">
        <v>422</v>
      </c>
      <c r="L105" s="13">
        <v>8000</v>
      </c>
      <c r="M105" s="8">
        <v>87</v>
      </c>
      <c r="N105" s="8">
        <v>87</v>
      </c>
      <c r="O105" s="9" t="s">
        <v>448</v>
      </c>
      <c r="P105" s="9" t="s">
        <v>63</v>
      </c>
      <c r="Q105" s="6"/>
    </row>
    <row r="106" spans="1:17" ht="25.5" x14ac:dyDescent="0.25">
      <c r="A106" s="8">
        <v>215</v>
      </c>
      <c r="B106" s="8" t="s">
        <v>416</v>
      </c>
      <c r="C106" s="9" t="s">
        <v>504</v>
      </c>
      <c r="D106" s="9" t="s">
        <v>505</v>
      </c>
      <c r="E106" s="10">
        <v>43381</v>
      </c>
      <c r="F106" s="10">
        <v>43388</v>
      </c>
      <c r="G106" s="11">
        <f t="shared" si="1"/>
        <v>8</v>
      </c>
      <c r="H106" s="9" t="s">
        <v>419</v>
      </c>
      <c r="I106" s="12" t="s">
        <v>420</v>
      </c>
      <c r="J106" s="9" t="s">
        <v>503</v>
      </c>
      <c r="K106" s="9" t="s">
        <v>422</v>
      </c>
      <c r="L106" s="13">
        <v>331909</v>
      </c>
      <c r="M106" s="8">
        <v>87</v>
      </c>
      <c r="N106" s="8">
        <v>87</v>
      </c>
      <c r="O106" s="9" t="s">
        <v>448</v>
      </c>
      <c r="P106" s="9" t="s">
        <v>63</v>
      </c>
      <c r="Q106" s="6"/>
    </row>
    <row r="107" spans="1:17" ht="25.5" x14ac:dyDescent="0.25">
      <c r="A107" s="8">
        <v>214</v>
      </c>
      <c r="B107" s="8" t="s">
        <v>136</v>
      </c>
      <c r="C107" s="9" t="s">
        <v>506</v>
      </c>
      <c r="D107" s="9" t="s">
        <v>507</v>
      </c>
      <c r="E107" s="10">
        <v>43361</v>
      </c>
      <c r="F107" s="10">
        <v>43419</v>
      </c>
      <c r="G107" s="11">
        <f t="shared" si="1"/>
        <v>59</v>
      </c>
      <c r="H107" s="9" t="s">
        <v>508</v>
      </c>
      <c r="I107" s="12" t="s">
        <v>509</v>
      </c>
      <c r="J107" s="9" t="s">
        <v>510</v>
      </c>
      <c r="K107" s="9" t="s">
        <v>92</v>
      </c>
      <c r="L107" s="13">
        <v>2433046.68350633</v>
      </c>
      <c r="M107" s="8">
        <v>50</v>
      </c>
      <c r="N107" s="8">
        <v>60</v>
      </c>
      <c r="O107" s="9" t="s">
        <v>377</v>
      </c>
      <c r="P107" s="9" t="s">
        <v>168</v>
      </c>
      <c r="Q107" s="6"/>
    </row>
    <row r="108" spans="1:17" x14ac:dyDescent="0.25">
      <c r="A108" s="8">
        <v>213</v>
      </c>
      <c r="B108" s="8" t="s">
        <v>511</v>
      </c>
      <c r="C108" s="9" t="s">
        <v>512</v>
      </c>
      <c r="D108" s="9" t="s">
        <v>513</v>
      </c>
      <c r="E108" s="10">
        <v>43335</v>
      </c>
      <c r="F108" s="10">
        <v>43341</v>
      </c>
      <c r="G108" s="11">
        <f t="shared" si="1"/>
        <v>7</v>
      </c>
      <c r="H108" s="9" t="s">
        <v>514</v>
      </c>
      <c r="I108" s="12" t="s">
        <v>515</v>
      </c>
      <c r="J108" s="9" t="s">
        <v>516</v>
      </c>
      <c r="K108" s="9" t="s">
        <v>517</v>
      </c>
      <c r="L108" s="13">
        <v>44950</v>
      </c>
      <c r="M108" s="8">
        <v>43</v>
      </c>
      <c r="N108" s="8">
        <v>43</v>
      </c>
      <c r="O108" s="9" t="s">
        <v>107</v>
      </c>
      <c r="P108" s="9" t="s">
        <v>518</v>
      </c>
      <c r="Q108" s="6"/>
    </row>
    <row r="109" spans="1:17" x14ac:dyDescent="0.25">
      <c r="A109" s="8">
        <v>212</v>
      </c>
      <c r="B109" s="8" t="s">
        <v>519</v>
      </c>
      <c r="C109" s="9" t="s">
        <v>520</v>
      </c>
      <c r="D109" s="9" t="s">
        <v>521</v>
      </c>
      <c r="E109" s="10">
        <v>43331</v>
      </c>
      <c r="F109" s="10">
        <v>43343</v>
      </c>
      <c r="G109" s="11">
        <f t="shared" si="1"/>
        <v>13</v>
      </c>
      <c r="H109" s="9" t="s">
        <v>522</v>
      </c>
      <c r="I109" s="12" t="s">
        <v>523</v>
      </c>
      <c r="J109" s="9" t="s">
        <v>524</v>
      </c>
      <c r="K109" s="9" t="s">
        <v>324</v>
      </c>
      <c r="L109" s="13">
        <v>26700</v>
      </c>
      <c r="M109" s="8">
        <v>52</v>
      </c>
      <c r="N109" s="8">
        <v>52</v>
      </c>
      <c r="O109" s="9" t="s">
        <v>110</v>
      </c>
      <c r="P109" s="9" t="s">
        <v>525</v>
      </c>
      <c r="Q109" s="6"/>
    </row>
    <row r="110" spans="1:17" x14ac:dyDescent="0.25">
      <c r="A110" s="8">
        <v>211</v>
      </c>
      <c r="B110" s="8" t="s">
        <v>511</v>
      </c>
      <c r="C110" s="9" t="s">
        <v>526</v>
      </c>
      <c r="D110" s="9" t="s">
        <v>500</v>
      </c>
      <c r="E110" s="10">
        <v>43331</v>
      </c>
      <c r="F110" s="10">
        <v>43343</v>
      </c>
      <c r="G110" s="11">
        <f t="shared" si="1"/>
        <v>13</v>
      </c>
      <c r="H110" s="9" t="s">
        <v>514</v>
      </c>
      <c r="I110" s="12" t="s">
        <v>515</v>
      </c>
      <c r="J110" s="9" t="s">
        <v>524</v>
      </c>
      <c r="K110" s="9" t="s">
        <v>324</v>
      </c>
      <c r="L110" s="13">
        <v>34500</v>
      </c>
      <c r="M110" s="8">
        <v>52</v>
      </c>
      <c r="N110" s="8">
        <v>52</v>
      </c>
      <c r="O110" s="9"/>
      <c r="P110" s="9" t="s">
        <v>525</v>
      </c>
      <c r="Q110" s="6"/>
    </row>
    <row r="111" spans="1:17" ht="63.75" x14ac:dyDescent="0.25">
      <c r="A111" s="8">
        <v>210</v>
      </c>
      <c r="B111" s="8" t="s">
        <v>25</v>
      </c>
      <c r="C111" s="9" t="s">
        <v>527</v>
      </c>
      <c r="D111" s="9" t="s">
        <v>528</v>
      </c>
      <c r="E111" s="10">
        <v>43276</v>
      </c>
      <c r="F111" s="10">
        <v>43341</v>
      </c>
      <c r="G111" s="11">
        <f t="shared" si="1"/>
        <v>66</v>
      </c>
      <c r="H111" s="9" t="s">
        <v>529</v>
      </c>
      <c r="I111" s="12" t="s">
        <v>530</v>
      </c>
      <c r="J111" s="9" t="s">
        <v>531</v>
      </c>
      <c r="K111" s="9" t="s">
        <v>532</v>
      </c>
      <c r="L111" s="13">
        <v>2426382</v>
      </c>
      <c r="M111" s="8">
        <v>50</v>
      </c>
      <c r="N111" s="8">
        <v>60</v>
      </c>
      <c r="O111" s="9" t="s">
        <v>47</v>
      </c>
      <c r="P111" s="9" t="s">
        <v>168</v>
      </c>
      <c r="Q111" s="6"/>
    </row>
    <row r="112" spans="1:17" ht="25.5" x14ac:dyDescent="0.25">
      <c r="A112" s="8">
        <v>209</v>
      </c>
      <c r="B112" s="8" t="s">
        <v>122</v>
      </c>
      <c r="C112" s="9" t="s">
        <v>533</v>
      </c>
      <c r="D112" s="9" t="s">
        <v>500</v>
      </c>
      <c r="E112" s="10">
        <v>43271</v>
      </c>
      <c r="F112" s="10">
        <v>43306</v>
      </c>
      <c r="G112" s="11">
        <f t="shared" si="1"/>
        <v>36</v>
      </c>
      <c r="H112" s="9" t="s">
        <v>501</v>
      </c>
      <c r="I112" s="12" t="s">
        <v>502</v>
      </c>
      <c r="J112" s="9" t="s">
        <v>534</v>
      </c>
      <c r="K112" s="9" t="s">
        <v>535</v>
      </c>
      <c r="L112" s="13">
        <v>21600</v>
      </c>
      <c r="M112" s="8">
        <v>120</v>
      </c>
      <c r="N112" s="8">
        <v>120</v>
      </c>
      <c r="O112" s="9" t="s">
        <v>461</v>
      </c>
      <c r="P112" s="9" t="s">
        <v>118</v>
      </c>
      <c r="Q112" s="6"/>
    </row>
    <row r="113" spans="1:17" ht="25.5" x14ac:dyDescent="0.25">
      <c r="A113" s="8">
        <v>208</v>
      </c>
      <c r="B113" s="8" t="s">
        <v>173</v>
      </c>
      <c r="C113" s="9" t="s">
        <v>536</v>
      </c>
      <c r="D113" s="9" t="s">
        <v>537</v>
      </c>
      <c r="E113" s="10">
        <v>43245</v>
      </c>
      <c r="F113" s="10">
        <v>43269</v>
      </c>
      <c r="G113" s="11">
        <f t="shared" si="1"/>
        <v>25</v>
      </c>
      <c r="H113" s="9" t="s">
        <v>538</v>
      </c>
      <c r="I113" s="12" t="s">
        <v>539</v>
      </c>
      <c r="J113" s="9" t="s">
        <v>540</v>
      </c>
      <c r="K113" s="9" t="s">
        <v>253</v>
      </c>
      <c r="L113" s="13">
        <v>1005942</v>
      </c>
      <c r="M113" s="8">
        <v>110</v>
      </c>
      <c r="N113" s="8">
        <v>110</v>
      </c>
      <c r="O113" s="9" t="s">
        <v>47</v>
      </c>
      <c r="P113" s="9" t="s">
        <v>63</v>
      </c>
      <c r="Q113" s="6"/>
    </row>
    <row r="114" spans="1:17" ht="25.5" x14ac:dyDescent="0.25">
      <c r="A114" s="8">
        <v>207</v>
      </c>
      <c r="B114" s="8" t="s">
        <v>73</v>
      </c>
      <c r="C114" s="9" t="s">
        <v>541</v>
      </c>
      <c r="D114" s="9" t="s">
        <v>542</v>
      </c>
      <c r="E114" s="10">
        <v>43232</v>
      </c>
      <c r="F114" s="10">
        <v>43253</v>
      </c>
      <c r="G114" s="11">
        <f t="shared" si="1"/>
        <v>22</v>
      </c>
      <c r="H114" s="9" t="s">
        <v>346</v>
      </c>
      <c r="I114" s="12" t="s">
        <v>347</v>
      </c>
      <c r="J114" s="9" t="s">
        <v>543</v>
      </c>
      <c r="K114" s="9" t="s">
        <v>544</v>
      </c>
      <c r="L114" s="13">
        <v>718671</v>
      </c>
      <c r="M114" s="8">
        <v>50</v>
      </c>
      <c r="N114" s="8">
        <v>120</v>
      </c>
      <c r="O114" s="9" t="s">
        <v>107</v>
      </c>
      <c r="P114" s="9" t="s">
        <v>168</v>
      </c>
      <c r="Q114" s="6"/>
    </row>
    <row r="115" spans="1:17" ht="25.5" x14ac:dyDescent="0.25">
      <c r="A115" s="8">
        <v>206</v>
      </c>
      <c r="B115" s="8" t="s">
        <v>136</v>
      </c>
      <c r="C115" s="9" t="s">
        <v>545</v>
      </c>
      <c r="D115" s="9" t="s">
        <v>88</v>
      </c>
      <c r="E115" s="10">
        <v>43227</v>
      </c>
      <c r="F115" s="10">
        <v>43238</v>
      </c>
      <c r="G115" s="11">
        <f t="shared" si="1"/>
        <v>12</v>
      </c>
      <c r="H115" s="9" t="s">
        <v>546</v>
      </c>
      <c r="I115" s="12" t="s">
        <v>547</v>
      </c>
      <c r="J115" s="9" t="s">
        <v>88</v>
      </c>
      <c r="K115" s="9" t="s">
        <v>92</v>
      </c>
      <c r="L115" s="13">
        <v>69807</v>
      </c>
      <c r="M115" s="8">
        <v>50</v>
      </c>
      <c r="N115" s="8">
        <v>50</v>
      </c>
      <c r="O115" s="9" t="s">
        <v>47</v>
      </c>
      <c r="P115" s="9" t="s">
        <v>548</v>
      </c>
      <c r="Q115" s="6"/>
    </row>
    <row r="116" spans="1:17" ht="25.5" x14ac:dyDescent="0.25">
      <c r="A116" s="8">
        <v>205</v>
      </c>
      <c r="B116" s="8" t="s">
        <v>155</v>
      </c>
      <c r="C116" s="9" t="s">
        <v>549</v>
      </c>
      <c r="D116" s="9" t="s">
        <v>550</v>
      </c>
      <c r="E116" s="10">
        <v>43221</v>
      </c>
      <c r="F116" s="10">
        <v>43227</v>
      </c>
      <c r="G116" s="11">
        <f t="shared" si="1"/>
        <v>7</v>
      </c>
      <c r="H116" s="9" t="s">
        <v>317</v>
      </c>
      <c r="I116" s="12" t="s">
        <v>318</v>
      </c>
      <c r="J116" s="9" t="s">
        <v>516</v>
      </c>
      <c r="K116" s="9" t="s">
        <v>161</v>
      </c>
      <c r="L116" s="13">
        <v>110263</v>
      </c>
      <c r="M116" s="8">
        <v>50</v>
      </c>
      <c r="N116" s="8">
        <v>50</v>
      </c>
      <c r="O116" s="9" t="s">
        <v>107</v>
      </c>
      <c r="P116" s="9" t="s">
        <v>551</v>
      </c>
      <c r="Q116" s="6"/>
    </row>
    <row r="117" spans="1:17" ht="25.5" x14ac:dyDescent="0.25">
      <c r="A117" s="8">
        <v>204</v>
      </c>
      <c r="B117" s="8" t="s">
        <v>79</v>
      </c>
      <c r="C117" s="9" t="s">
        <v>552</v>
      </c>
      <c r="D117" s="9" t="s">
        <v>316</v>
      </c>
      <c r="E117" s="10">
        <v>43215</v>
      </c>
      <c r="F117" s="10">
        <v>43239</v>
      </c>
      <c r="G117" s="11">
        <f t="shared" si="1"/>
        <v>25</v>
      </c>
      <c r="H117" s="9" t="s">
        <v>312</v>
      </c>
      <c r="I117" s="12" t="s">
        <v>206</v>
      </c>
      <c r="J117" s="9" t="s">
        <v>553</v>
      </c>
      <c r="K117" s="9" t="s">
        <v>554</v>
      </c>
      <c r="L117" s="13">
        <v>139953</v>
      </c>
      <c r="M117" s="8">
        <v>60</v>
      </c>
      <c r="N117" s="8">
        <v>60</v>
      </c>
      <c r="O117" s="9" t="s">
        <v>110</v>
      </c>
      <c r="P117" s="9" t="s">
        <v>451</v>
      </c>
      <c r="Q117" s="6"/>
    </row>
    <row r="118" spans="1:17" x14ac:dyDescent="0.25">
      <c r="A118" s="8">
        <v>203</v>
      </c>
      <c r="B118" s="8" t="s">
        <v>463</v>
      </c>
      <c r="C118" s="9" t="s">
        <v>555</v>
      </c>
      <c r="D118" s="9" t="s">
        <v>556</v>
      </c>
      <c r="E118" s="10">
        <v>43213</v>
      </c>
      <c r="F118" s="10">
        <v>43218</v>
      </c>
      <c r="G118" s="11">
        <f t="shared" si="1"/>
        <v>6</v>
      </c>
      <c r="H118" s="9" t="s">
        <v>557</v>
      </c>
      <c r="I118" s="12" t="s">
        <v>558</v>
      </c>
      <c r="J118" s="9" t="s">
        <v>559</v>
      </c>
      <c r="K118" s="9" t="s">
        <v>560</v>
      </c>
      <c r="L118" s="13">
        <v>4800</v>
      </c>
      <c r="M118" s="8">
        <v>50</v>
      </c>
      <c r="N118" s="8">
        <v>110</v>
      </c>
      <c r="O118" s="9"/>
      <c r="P118" s="9" t="s">
        <v>561</v>
      </c>
      <c r="Q118" s="6"/>
    </row>
    <row r="119" spans="1:17" ht="25.5" x14ac:dyDescent="0.25">
      <c r="A119" s="8">
        <v>202</v>
      </c>
      <c r="B119" s="8" t="s">
        <v>136</v>
      </c>
      <c r="C119" s="9" t="s">
        <v>545</v>
      </c>
      <c r="D119" s="9" t="s">
        <v>306</v>
      </c>
      <c r="E119" s="10">
        <v>43172</v>
      </c>
      <c r="F119" s="10">
        <v>43178</v>
      </c>
      <c r="G119" s="11">
        <f t="shared" si="1"/>
        <v>7</v>
      </c>
      <c r="H119" s="9" t="s">
        <v>327</v>
      </c>
      <c r="I119" s="12" t="s">
        <v>328</v>
      </c>
      <c r="J119" s="9" t="s">
        <v>562</v>
      </c>
      <c r="K119" s="9" t="s">
        <v>92</v>
      </c>
      <c r="L119" s="13">
        <v>60900</v>
      </c>
      <c r="M119" s="8">
        <v>50</v>
      </c>
      <c r="N119" s="8">
        <v>60</v>
      </c>
      <c r="O119" s="9" t="s">
        <v>107</v>
      </c>
      <c r="P119" s="9" t="s">
        <v>63</v>
      </c>
      <c r="Q119" s="6"/>
    </row>
    <row r="120" spans="1:17" ht="25.5" x14ac:dyDescent="0.25">
      <c r="A120" s="8">
        <v>201</v>
      </c>
      <c r="B120" s="8" t="s">
        <v>563</v>
      </c>
      <c r="C120" s="9" t="s">
        <v>564</v>
      </c>
      <c r="D120" s="9" t="s">
        <v>565</v>
      </c>
      <c r="E120" s="10">
        <v>43092</v>
      </c>
      <c r="F120" s="10">
        <v>43101</v>
      </c>
      <c r="G120" s="11">
        <f t="shared" si="1"/>
        <v>10</v>
      </c>
      <c r="H120" s="9" t="s">
        <v>566</v>
      </c>
      <c r="I120" s="12" t="s">
        <v>567</v>
      </c>
      <c r="J120" s="9" t="s">
        <v>568</v>
      </c>
      <c r="K120" s="9" t="s">
        <v>569</v>
      </c>
      <c r="L120" s="13">
        <v>516268.83</v>
      </c>
      <c r="M120" s="8">
        <v>320</v>
      </c>
      <c r="N120" s="8">
        <v>320</v>
      </c>
      <c r="O120" s="9" t="s">
        <v>47</v>
      </c>
      <c r="P120" s="9" t="s">
        <v>570</v>
      </c>
      <c r="Q120" s="6"/>
    </row>
    <row r="121" spans="1:17" ht="25.5" x14ac:dyDescent="0.25">
      <c r="A121" s="8">
        <v>200</v>
      </c>
      <c r="B121" s="8" t="s">
        <v>173</v>
      </c>
      <c r="C121" s="9" t="s">
        <v>571</v>
      </c>
      <c r="D121" s="9" t="s">
        <v>572</v>
      </c>
      <c r="E121" s="10">
        <v>43053</v>
      </c>
      <c r="F121" s="10">
        <v>43060</v>
      </c>
      <c r="G121" s="11">
        <f t="shared" si="1"/>
        <v>8</v>
      </c>
      <c r="H121" s="9" t="s">
        <v>573</v>
      </c>
      <c r="I121" s="12" t="s">
        <v>574</v>
      </c>
      <c r="J121" s="9" t="s">
        <v>575</v>
      </c>
      <c r="K121" s="9" t="s">
        <v>253</v>
      </c>
      <c r="L121" s="13">
        <v>81459</v>
      </c>
      <c r="M121" s="8">
        <v>110</v>
      </c>
      <c r="N121" s="8">
        <v>120</v>
      </c>
      <c r="O121" s="9" t="s">
        <v>47</v>
      </c>
      <c r="P121" s="9" t="s">
        <v>576</v>
      </c>
      <c r="Q121" s="6"/>
    </row>
    <row r="122" spans="1:17" ht="25.5" x14ac:dyDescent="0.25">
      <c r="A122" s="8">
        <v>199</v>
      </c>
      <c r="B122" s="8" t="s">
        <v>25</v>
      </c>
      <c r="C122" s="9" t="s">
        <v>577</v>
      </c>
      <c r="D122" s="9" t="s">
        <v>578</v>
      </c>
      <c r="E122" s="10">
        <v>43018</v>
      </c>
      <c r="F122" s="10">
        <v>43035</v>
      </c>
      <c r="G122" s="11">
        <f t="shared" si="1"/>
        <v>18</v>
      </c>
      <c r="H122" s="9" t="s">
        <v>529</v>
      </c>
      <c r="I122" s="12" t="s">
        <v>530</v>
      </c>
      <c r="J122" s="9" t="s">
        <v>579</v>
      </c>
      <c r="K122" s="9" t="s">
        <v>580</v>
      </c>
      <c r="L122" s="13">
        <v>620500</v>
      </c>
      <c r="M122" s="8">
        <v>50</v>
      </c>
      <c r="N122" s="8">
        <v>120</v>
      </c>
      <c r="O122" s="9" t="s">
        <v>47</v>
      </c>
      <c r="P122" s="9" t="s">
        <v>581</v>
      </c>
      <c r="Q122" s="6"/>
    </row>
    <row r="123" spans="1:17" ht="38.25" x14ac:dyDescent="0.25">
      <c r="A123" s="8">
        <v>198</v>
      </c>
      <c r="B123" s="8" t="s">
        <v>582</v>
      </c>
      <c r="C123" s="9" t="s">
        <v>583</v>
      </c>
      <c r="D123" s="9" t="s">
        <v>584</v>
      </c>
      <c r="E123" s="10">
        <v>43013</v>
      </c>
      <c r="F123" s="10">
        <v>43016</v>
      </c>
      <c r="G123" s="11">
        <f t="shared" si="1"/>
        <v>4</v>
      </c>
      <c r="H123" s="9" t="s">
        <v>585</v>
      </c>
      <c r="I123" s="12" t="s">
        <v>586</v>
      </c>
      <c r="J123" s="9" t="s">
        <v>584</v>
      </c>
      <c r="K123" s="9" t="s">
        <v>587</v>
      </c>
      <c r="L123" s="13">
        <v>102124</v>
      </c>
      <c r="M123" s="8">
        <v>67</v>
      </c>
      <c r="N123" s="8">
        <v>67</v>
      </c>
      <c r="O123" s="9" t="s">
        <v>47</v>
      </c>
      <c r="P123" s="9" t="s">
        <v>581</v>
      </c>
      <c r="Q123" s="6"/>
    </row>
    <row r="124" spans="1:17" ht="25.5" x14ac:dyDescent="0.25">
      <c r="A124" s="8">
        <v>197</v>
      </c>
      <c r="B124" s="8" t="s">
        <v>416</v>
      </c>
      <c r="C124" s="9" t="s">
        <v>588</v>
      </c>
      <c r="D124" s="9" t="s">
        <v>505</v>
      </c>
      <c r="E124" s="10">
        <v>43008</v>
      </c>
      <c r="F124" s="10">
        <v>43013</v>
      </c>
      <c r="G124" s="11">
        <f t="shared" si="1"/>
        <v>6</v>
      </c>
      <c r="H124" s="9" t="s">
        <v>419</v>
      </c>
      <c r="I124" s="12" t="s">
        <v>420</v>
      </c>
      <c r="J124" s="9" t="s">
        <v>503</v>
      </c>
      <c r="K124" s="9" t="s">
        <v>422</v>
      </c>
      <c r="L124" s="13">
        <v>181832</v>
      </c>
      <c r="M124" s="8">
        <v>87</v>
      </c>
      <c r="N124" s="8">
        <v>87</v>
      </c>
      <c r="O124" s="9" t="s">
        <v>47</v>
      </c>
      <c r="P124" s="9" t="s">
        <v>581</v>
      </c>
      <c r="Q124" s="6"/>
    </row>
    <row r="125" spans="1:17" ht="38.25" x14ac:dyDescent="0.25">
      <c r="A125" s="8">
        <v>196</v>
      </c>
      <c r="B125" s="8" t="s">
        <v>16</v>
      </c>
      <c r="C125" s="9" t="s">
        <v>589</v>
      </c>
      <c r="D125" s="9" t="s">
        <v>590</v>
      </c>
      <c r="E125" s="10">
        <v>42998</v>
      </c>
      <c r="F125" s="10">
        <v>43018</v>
      </c>
      <c r="G125" s="11">
        <f t="shared" si="1"/>
        <v>21</v>
      </c>
      <c r="H125" s="9" t="s">
        <v>427</v>
      </c>
      <c r="I125" s="12" t="s">
        <v>428</v>
      </c>
      <c r="J125" s="9" t="s">
        <v>591</v>
      </c>
      <c r="K125" s="9" t="s">
        <v>22</v>
      </c>
      <c r="L125" s="13">
        <v>2043662</v>
      </c>
      <c r="M125" s="8">
        <v>55</v>
      </c>
      <c r="N125" s="8">
        <v>55</v>
      </c>
      <c r="O125" s="9" t="s">
        <v>437</v>
      </c>
      <c r="P125" s="9" t="s">
        <v>592</v>
      </c>
      <c r="Q125" s="6"/>
    </row>
    <row r="126" spans="1:17" ht="38.25" x14ac:dyDescent="0.25">
      <c r="A126" s="8">
        <v>195</v>
      </c>
      <c r="B126" s="8" t="s">
        <v>593</v>
      </c>
      <c r="C126" s="9" t="s">
        <v>594</v>
      </c>
      <c r="D126" s="9" t="s">
        <v>316</v>
      </c>
      <c r="E126" s="10">
        <v>42980</v>
      </c>
      <c r="F126" s="10">
        <v>42990</v>
      </c>
      <c r="G126" s="11">
        <f t="shared" si="1"/>
        <v>11</v>
      </c>
      <c r="H126" s="9" t="s">
        <v>595</v>
      </c>
      <c r="I126" s="12" t="s">
        <v>596</v>
      </c>
      <c r="J126" s="9" t="s">
        <v>597</v>
      </c>
      <c r="K126" s="9" t="s">
        <v>598</v>
      </c>
      <c r="L126" s="13">
        <v>36418</v>
      </c>
      <c r="M126" s="8">
        <v>85</v>
      </c>
      <c r="N126" s="8">
        <v>85</v>
      </c>
      <c r="O126" s="9" t="s">
        <v>107</v>
      </c>
      <c r="P126" s="9" t="s">
        <v>320</v>
      </c>
      <c r="Q126" s="6"/>
    </row>
    <row r="127" spans="1:17" x14ac:dyDescent="0.25">
      <c r="A127" s="8">
        <v>194</v>
      </c>
      <c r="B127" s="8" t="s">
        <v>155</v>
      </c>
      <c r="C127" s="9" t="s">
        <v>599</v>
      </c>
      <c r="D127" s="9" t="s">
        <v>316</v>
      </c>
      <c r="E127" s="10">
        <v>42923</v>
      </c>
      <c r="F127" s="10">
        <v>42936</v>
      </c>
      <c r="G127" s="11">
        <f t="shared" si="1"/>
        <v>14</v>
      </c>
      <c r="H127" s="9" t="s">
        <v>317</v>
      </c>
      <c r="I127" s="12" t="s">
        <v>318</v>
      </c>
      <c r="J127" s="9" t="s">
        <v>450</v>
      </c>
      <c r="K127" s="9" t="s">
        <v>161</v>
      </c>
      <c r="L127" s="13">
        <v>72922</v>
      </c>
      <c r="M127" s="8">
        <v>50</v>
      </c>
      <c r="N127" s="8">
        <v>50</v>
      </c>
      <c r="O127" s="9" t="s">
        <v>107</v>
      </c>
      <c r="P127" s="9" t="s">
        <v>220</v>
      </c>
      <c r="Q127" s="6"/>
    </row>
    <row r="128" spans="1:17" ht="38.25" x14ac:dyDescent="0.25">
      <c r="A128" s="8">
        <v>193</v>
      </c>
      <c r="B128" s="8" t="s">
        <v>173</v>
      </c>
      <c r="C128" s="9" t="s">
        <v>600</v>
      </c>
      <c r="D128" s="9" t="s">
        <v>601</v>
      </c>
      <c r="E128" s="10">
        <v>42924</v>
      </c>
      <c r="F128" s="10">
        <v>42930</v>
      </c>
      <c r="G128" s="11">
        <f t="shared" si="1"/>
        <v>7</v>
      </c>
      <c r="H128" s="9" t="s">
        <v>602</v>
      </c>
      <c r="I128" s="12" t="s">
        <v>603</v>
      </c>
      <c r="J128" s="9" t="s">
        <v>604</v>
      </c>
      <c r="K128" s="9" t="s">
        <v>253</v>
      </c>
      <c r="L128" s="13">
        <v>265791</v>
      </c>
      <c r="M128" s="8">
        <v>110</v>
      </c>
      <c r="N128" s="8">
        <v>120</v>
      </c>
      <c r="O128" s="9" t="s">
        <v>47</v>
      </c>
      <c r="P128" s="9" t="s">
        <v>63</v>
      </c>
      <c r="Q128" s="6"/>
    </row>
    <row r="129" spans="1:17" ht="25.5" x14ac:dyDescent="0.25">
      <c r="A129" s="8">
        <v>192</v>
      </c>
      <c r="B129" s="8" t="s">
        <v>605</v>
      </c>
      <c r="C129" s="9" t="s">
        <v>606</v>
      </c>
      <c r="D129" s="9" t="s">
        <v>316</v>
      </c>
      <c r="E129" s="10">
        <v>42896</v>
      </c>
      <c r="F129" s="10">
        <v>42949</v>
      </c>
      <c r="G129" s="11">
        <f t="shared" si="1"/>
        <v>54</v>
      </c>
      <c r="H129" s="9" t="s">
        <v>607</v>
      </c>
      <c r="I129" s="12" t="s">
        <v>608</v>
      </c>
      <c r="J129" s="9" t="s">
        <v>609</v>
      </c>
      <c r="K129" s="9" t="s">
        <v>610</v>
      </c>
      <c r="L129" s="13">
        <v>379324</v>
      </c>
      <c r="M129" s="8">
        <v>850</v>
      </c>
      <c r="N129" s="8">
        <v>850</v>
      </c>
      <c r="O129" s="9" t="s">
        <v>611</v>
      </c>
      <c r="P129" s="9" t="s">
        <v>612</v>
      </c>
      <c r="Q129" s="6"/>
    </row>
    <row r="130" spans="1:17" ht="25.5" x14ac:dyDescent="0.25">
      <c r="A130" s="8">
        <v>191</v>
      </c>
      <c r="B130" s="8" t="s">
        <v>613</v>
      </c>
      <c r="C130" s="9" t="s">
        <v>614</v>
      </c>
      <c r="D130" s="9" t="s">
        <v>441</v>
      </c>
      <c r="E130" s="10">
        <v>42873</v>
      </c>
      <c r="F130" s="10">
        <v>42882</v>
      </c>
      <c r="G130" s="11">
        <f t="shared" ref="G130:G193" si="2">IF(AND(ISNUMBER(E130),ISNUMBER(F130)),F130-E130+1,"")</f>
        <v>10</v>
      </c>
      <c r="H130" s="9" t="s">
        <v>615</v>
      </c>
      <c r="I130" s="12" t="s">
        <v>616</v>
      </c>
      <c r="J130" s="9" t="s">
        <v>617</v>
      </c>
      <c r="K130" s="9" t="s">
        <v>422</v>
      </c>
      <c r="L130" s="13">
        <v>151660</v>
      </c>
      <c r="M130" s="8">
        <v>90</v>
      </c>
      <c r="N130" s="8">
        <v>90</v>
      </c>
      <c r="O130" s="9" t="s">
        <v>47</v>
      </c>
      <c r="P130" s="9" t="s">
        <v>618</v>
      </c>
      <c r="Q130" s="6"/>
    </row>
    <row r="131" spans="1:17" ht="38.25" x14ac:dyDescent="0.25">
      <c r="A131" s="8">
        <v>190</v>
      </c>
      <c r="B131" s="8" t="s">
        <v>619</v>
      </c>
      <c r="C131" s="9" t="s">
        <v>620</v>
      </c>
      <c r="D131" s="9" t="s">
        <v>621</v>
      </c>
      <c r="E131" s="10">
        <v>42867</v>
      </c>
      <c r="F131" s="10">
        <v>42910</v>
      </c>
      <c r="G131" s="11">
        <f t="shared" si="2"/>
        <v>44</v>
      </c>
      <c r="H131" s="9" t="s">
        <v>622</v>
      </c>
      <c r="I131" s="12" t="s">
        <v>623</v>
      </c>
      <c r="J131" s="9" t="s">
        <v>624</v>
      </c>
      <c r="K131" s="9" t="s">
        <v>625</v>
      </c>
      <c r="L131" s="13">
        <v>73853.56</v>
      </c>
      <c r="M131" s="8">
        <v>50</v>
      </c>
      <c r="N131" s="8">
        <v>50</v>
      </c>
      <c r="O131" s="9" t="s">
        <v>626</v>
      </c>
      <c r="P131" s="9" t="s">
        <v>320</v>
      </c>
      <c r="Q131" s="6"/>
    </row>
    <row r="132" spans="1:17" ht="25.5" x14ac:dyDescent="0.25">
      <c r="A132" s="8">
        <v>189</v>
      </c>
      <c r="B132" s="8" t="s">
        <v>122</v>
      </c>
      <c r="C132" s="9" t="s">
        <v>627</v>
      </c>
      <c r="D132" s="9" t="s">
        <v>200</v>
      </c>
      <c r="E132" s="10">
        <v>42859</v>
      </c>
      <c r="F132" s="10">
        <v>42868</v>
      </c>
      <c r="G132" s="11">
        <f t="shared" si="2"/>
        <v>10</v>
      </c>
      <c r="H132" s="9" t="s">
        <v>628</v>
      </c>
      <c r="I132" s="12" t="s">
        <v>629</v>
      </c>
      <c r="J132" s="9" t="s">
        <v>630</v>
      </c>
      <c r="K132" s="9" t="s">
        <v>436</v>
      </c>
      <c r="L132" s="13">
        <v>49903</v>
      </c>
      <c r="M132" s="8">
        <v>70</v>
      </c>
      <c r="N132" s="8">
        <v>70</v>
      </c>
      <c r="O132" s="9" t="s">
        <v>47</v>
      </c>
      <c r="P132" s="9" t="s">
        <v>63</v>
      </c>
      <c r="Q132" s="6"/>
    </row>
    <row r="133" spans="1:17" ht="76.5" x14ac:dyDescent="0.25">
      <c r="A133" s="8">
        <v>188</v>
      </c>
      <c r="B133" s="8" t="s">
        <v>164</v>
      </c>
      <c r="C133" s="9" t="s">
        <v>631</v>
      </c>
      <c r="D133" s="9" t="s">
        <v>278</v>
      </c>
      <c r="E133" s="10">
        <v>42845</v>
      </c>
      <c r="F133" s="10">
        <v>42858</v>
      </c>
      <c r="G133" s="11">
        <f t="shared" si="2"/>
        <v>14</v>
      </c>
      <c r="H133" s="9" t="s">
        <v>115</v>
      </c>
      <c r="I133" s="12" t="s">
        <v>116</v>
      </c>
      <c r="J133" s="9" t="s">
        <v>632</v>
      </c>
      <c r="K133" s="9" t="s">
        <v>78</v>
      </c>
      <c r="L133" s="13">
        <v>324313.53999999998</v>
      </c>
      <c r="M133" s="8">
        <v>110</v>
      </c>
      <c r="N133" s="8">
        <v>130</v>
      </c>
      <c r="O133" s="9" t="s">
        <v>47</v>
      </c>
      <c r="P133" s="9" t="s">
        <v>118</v>
      </c>
      <c r="Q133" s="6"/>
    </row>
    <row r="134" spans="1:17" ht="76.5" x14ac:dyDescent="0.25">
      <c r="A134" s="8">
        <v>187</v>
      </c>
      <c r="B134" s="8" t="s">
        <v>155</v>
      </c>
      <c r="C134" s="9" t="s">
        <v>633</v>
      </c>
      <c r="D134" s="9" t="s">
        <v>278</v>
      </c>
      <c r="E134" s="10">
        <v>42846</v>
      </c>
      <c r="F134" s="10">
        <v>42880</v>
      </c>
      <c r="G134" s="11">
        <f t="shared" si="2"/>
        <v>35</v>
      </c>
      <c r="H134" s="9" t="s">
        <v>634</v>
      </c>
      <c r="I134" s="12" t="s">
        <v>635</v>
      </c>
      <c r="J134" s="9" t="s">
        <v>636</v>
      </c>
      <c r="K134" s="9" t="s">
        <v>161</v>
      </c>
      <c r="L134" s="13">
        <v>745216.25</v>
      </c>
      <c r="M134" s="8">
        <v>60</v>
      </c>
      <c r="N134" s="8">
        <v>60</v>
      </c>
      <c r="O134" s="9" t="s">
        <v>110</v>
      </c>
      <c r="P134" s="9" t="s">
        <v>71</v>
      </c>
      <c r="Q134" s="6"/>
    </row>
    <row r="135" spans="1:17" ht="63.75" x14ac:dyDescent="0.25">
      <c r="A135" s="8">
        <v>186</v>
      </c>
      <c r="B135" s="8" t="s">
        <v>593</v>
      </c>
      <c r="C135" s="9" t="s">
        <v>594</v>
      </c>
      <c r="D135" s="9" t="s">
        <v>316</v>
      </c>
      <c r="E135" s="10">
        <v>42840</v>
      </c>
      <c r="F135" s="10">
        <v>42882</v>
      </c>
      <c r="G135" s="11">
        <f t="shared" si="2"/>
        <v>43</v>
      </c>
      <c r="H135" s="9" t="s">
        <v>595</v>
      </c>
      <c r="I135" s="12" t="s">
        <v>596</v>
      </c>
      <c r="J135" s="9" t="s">
        <v>637</v>
      </c>
      <c r="K135" s="9" t="s">
        <v>598</v>
      </c>
      <c r="L135" s="13">
        <v>81769.88</v>
      </c>
      <c r="M135" s="8">
        <v>85</v>
      </c>
      <c r="N135" s="8">
        <v>85</v>
      </c>
      <c r="O135" s="9" t="s">
        <v>107</v>
      </c>
      <c r="P135" s="9" t="s">
        <v>451</v>
      </c>
      <c r="Q135" s="6"/>
    </row>
    <row r="136" spans="1:17" ht="25.5" x14ac:dyDescent="0.25">
      <c r="A136" s="8">
        <v>185</v>
      </c>
      <c r="B136" s="8" t="s">
        <v>136</v>
      </c>
      <c r="C136" s="9" t="s">
        <v>545</v>
      </c>
      <c r="D136" s="9" t="s">
        <v>306</v>
      </c>
      <c r="E136" s="10">
        <v>42837</v>
      </c>
      <c r="F136" s="10">
        <v>42844</v>
      </c>
      <c r="G136" s="11">
        <f t="shared" si="2"/>
        <v>8</v>
      </c>
      <c r="H136" s="9" t="s">
        <v>327</v>
      </c>
      <c r="I136" s="12" t="s">
        <v>328</v>
      </c>
      <c r="J136" s="9" t="s">
        <v>638</v>
      </c>
      <c r="K136" s="9" t="s">
        <v>92</v>
      </c>
      <c r="L136" s="13">
        <v>67387</v>
      </c>
      <c r="M136" s="8">
        <v>50</v>
      </c>
      <c r="N136" s="8">
        <v>60</v>
      </c>
      <c r="O136" s="9" t="s">
        <v>110</v>
      </c>
      <c r="P136" s="9" t="s">
        <v>639</v>
      </c>
      <c r="Q136" s="6"/>
    </row>
    <row r="137" spans="1:17" ht="51" x14ac:dyDescent="0.25">
      <c r="A137" s="8">
        <v>184</v>
      </c>
      <c r="B137" s="8" t="s">
        <v>640</v>
      </c>
      <c r="C137" s="9" t="s">
        <v>641</v>
      </c>
      <c r="D137" s="9" t="s">
        <v>642</v>
      </c>
      <c r="E137" s="10">
        <v>42832</v>
      </c>
      <c r="F137" s="10">
        <v>42845</v>
      </c>
      <c r="G137" s="11">
        <f t="shared" si="2"/>
        <v>14</v>
      </c>
      <c r="H137" s="9" t="s">
        <v>643</v>
      </c>
      <c r="I137" s="12" t="s">
        <v>644</v>
      </c>
      <c r="J137" s="9" t="s">
        <v>645</v>
      </c>
      <c r="K137" s="9" t="s">
        <v>646</v>
      </c>
      <c r="L137" s="13">
        <v>430583.03</v>
      </c>
      <c r="M137" s="8">
        <v>85</v>
      </c>
      <c r="N137" s="8">
        <v>85</v>
      </c>
      <c r="O137" s="9" t="s">
        <v>448</v>
      </c>
      <c r="P137" s="9" t="s">
        <v>63</v>
      </c>
      <c r="Q137" s="6"/>
    </row>
    <row r="138" spans="1:17" ht="25.5" x14ac:dyDescent="0.25">
      <c r="A138" s="8">
        <v>183</v>
      </c>
      <c r="B138" s="8" t="s">
        <v>155</v>
      </c>
      <c r="C138" s="9" t="s">
        <v>647</v>
      </c>
      <c r="D138" s="9" t="s">
        <v>550</v>
      </c>
      <c r="E138" s="10">
        <v>42828</v>
      </c>
      <c r="F138" s="10">
        <v>42846</v>
      </c>
      <c r="G138" s="11">
        <f t="shared" si="2"/>
        <v>19</v>
      </c>
      <c r="H138" s="9" t="s">
        <v>317</v>
      </c>
      <c r="I138" s="12" t="s">
        <v>318</v>
      </c>
      <c r="J138" s="9" t="s">
        <v>648</v>
      </c>
      <c r="K138" s="9" t="s">
        <v>649</v>
      </c>
      <c r="L138" s="13">
        <v>248105.82</v>
      </c>
      <c r="M138" s="8">
        <v>60</v>
      </c>
      <c r="N138" s="8">
        <v>60</v>
      </c>
      <c r="O138" s="9" t="s">
        <v>47</v>
      </c>
      <c r="P138" s="9" t="s">
        <v>71</v>
      </c>
      <c r="Q138" s="6"/>
    </row>
    <row r="139" spans="1:17" ht="76.5" x14ac:dyDescent="0.25">
      <c r="A139" s="8">
        <v>182</v>
      </c>
      <c r="B139" s="8" t="s">
        <v>16</v>
      </c>
      <c r="C139" s="9" t="s">
        <v>650</v>
      </c>
      <c r="D139" s="9" t="s">
        <v>651</v>
      </c>
      <c r="E139" s="10">
        <v>42685</v>
      </c>
      <c r="F139" s="10">
        <v>42696</v>
      </c>
      <c r="G139" s="11">
        <f t="shared" si="2"/>
        <v>12</v>
      </c>
      <c r="H139" s="9" t="s">
        <v>427</v>
      </c>
      <c r="I139" s="12" t="s">
        <v>428</v>
      </c>
      <c r="J139" s="9" t="s">
        <v>652</v>
      </c>
      <c r="K139" s="9" t="s">
        <v>22</v>
      </c>
      <c r="L139" s="13">
        <v>747871.95</v>
      </c>
      <c r="M139" s="8">
        <v>55</v>
      </c>
      <c r="N139" s="8">
        <v>55</v>
      </c>
      <c r="O139" s="9" t="s">
        <v>437</v>
      </c>
      <c r="P139" s="9" t="s">
        <v>592</v>
      </c>
      <c r="Q139" s="6"/>
    </row>
    <row r="140" spans="1:17" ht="38.25" x14ac:dyDescent="0.25">
      <c r="A140" s="8">
        <v>181</v>
      </c>
      <c r="B140" s="8" t="s">
        <v>653</v>
      </c>
      <c r="C140" s="9" t="s">
        <v>654</v>
      </c>
      <c r="D140" s="9" t="s">
        <v>655</v>
      </c>
      <c r="E140" s="10">
        <v>42677</v>
      </c>
      <c r="F140" s="10">
        <v>42683</v>
      </c>
      <c r="G140" s="11">
        <f t="shared" si="2"/>
        <v>7</v>
      </c>
      <c r="H140" s="9" t="s">
        <v>656</v>
      </c>
      <c r="I140" s="12" t="s">
        <v>657</v>
      </c>
      <c r="J140" s="9" t="s">
        <v>584</v>
      </c>
      <c r="K140" s="9" t="s">
        <v>658</v>
      </c>
      <c r="L140" s="13">
        <v>181414</v>
      </c>
      <c r="M140" s="8">
        <v>120</v>
      </c>
      <c r="N140" s="8">
        <v>120</v>
      </c>
      <c r="O140" s="9" t="s">
        <v>47</v>
      </c>
      <c r="P140" s="9" t="s">
        <v>659</v>
      </c>
      <c r="Q140" s="6"/>
    </row>
    <row r="141" spans="1:17" ht="38.25" x14ac:dyDescent="0.25">
      <c r="A141" s="8">
        <v>180</v>
      </c>
      <c r="B141" s="8" t="s">
        <v>660</v>
      </c>
      <c r="C141" s="9" t="s">
        <v>661</v>
      </c>
      <c r="D141" s="9" t="s">
        <v>662</v>
      </c>
      <c r="E141" s="10">
        <v>42669</v>
      </c>
      <c r="F141" s="10">
        <v>42678</v>
      </c>
      <c r="G141" s="11">
        <f t="shared" si="2"/>
        <v>10</v>
      </c>
      <c r="H141" s="9" t="s">
        <v>663</v>
      </c>
      <c r="I141" s="12" t="s">
        <v>664</v>
      </c>
      <c r="J141" s="9" t="s">
        <v>665</v>
      </c>
      <c r="K141" s="9" t="s">
        <v>666</v>
      </c>
      <c r="L141" s="13">
        <v>415000</v>
      </c>
      <c r="M141" s="8">
        <v>60</v>
      </c>
      <c r="N141" s="8">
        <v>60</v>
      </c>
      <c r="O141" s="9" t="s">
        <v>110</v>
      </c>
      <c r="P141" s="9" t="s">
        <v>63</v>
      </c>
      <c r="Q141" s="6"/>
    </row>
    <row r="142" spans="1:17" ht="25.5" x14ac:dyDescent="0.25">
      <c r="A142" s="8">
        <v>179</v>
      </c>
      <c r="B142" s="8" t="s">
        <v>354</v>
      </c>
      <c r="C142" s="9" t="s">
        <v>667</v>
      </c>
      <c r="D142" s="9" t="s">
        <v>668</v>
      </c>
      <c r="E142" s="10">
        <v>42657</v>
      </c>
      <c r="F142" s="10">
        <v>42672</v>
      </c>
      <c r="G142" s="11">
        <f t="shared" si="2"/>
        <v>16</v>
      </c>
      <c r="H142" s="9" t="s">
        <v>669</v>
      </c>
      <c r="I142" s="12" t="s">
        <v>670</v>
      </c>
      <c r="J142" s="9" t="s">
        <v>671</v>
      </c>
      <c r="K142" s="9" t="s">
        <v>672</v>
      </c>
      <c r="L142" s="13">
        <v>535462</v>
      </c>
      <c r="M142" s="8">
        <v>115</v>
      </c>
      <c r="N142" s="8">
        <v>115</v>
      </c>
      <c r="O142" s="9" t="s">
        <v>47</v>
      </c>
      <c r="P142" s="9" t="s">
        <v>673</v>
      </c>
      <c r="Q142" s="6"/>
    </row>
    <row r="143" spans="1:17" ht="63.75" x14ac:dyDescent="0.25">
      <c r="A143" s="8">
        <v>178</v>
      </c>
      <c r="B143" s="8" t="s">
        <v>16</v>
      </c>
      <c r="C143" s="9" t="s">
        <v>674</v>
      </c>
      <c r="D143" s="9" t="s">
        <v>675</v>
      </c>
      <c r="E143" s="10">
        <v>42647</v>
      </c>
      <c r="F143" s="10">
        <v>42666</v>
      </c>
      <c r="G143" s="11">
        <f t="shared" si="2"/>
        <v>20</v>
      </c>
      <c r="H143" s="9" t="s">
        <v>427</v>
      </c>
      <c r="I143" s="12" t="s">
        <v>428</v>
      </c>
      <c r="J143" s="9" t="s">
        <v>453</v>
      </c>
      <c r="K143" s="9" t="s">
        <v>22</v>
      </c>
      <c r="L143" s="13">
        <v>659841.5</v>
      </c>
      <c r="M143" s="8">
        <v>55</v>
      </c>
      <c r="N143" s="8">
        <v>55</v>
      </c>
      <c r="O143" s="9" t="s">
        <v>437</v>
      </c>
      <c r="P143" s="9" t="s">
        <v>63</v>
      </c>
      <c r="Q143" s="6"/>
    </row>
    <row r="144" spans="1:17" ht="25.5" x14ac:dyDescent="0.25">
      <c r="A144" s="8">
        <v>177</v>
      </c>
      <c r="B144" s="8" t="s">
        <v>164</v>
      </c>
      <c r="C144" s="9" t="s">
        <v>676</v>
      </c>
      <c r="D144" s="9" t="s">
        <v>677</v>
      </c>
      <c r="E144" s="10">
        <v>42641</v>
      </c>
      <c r="F144" s="10">
        <v>42651</v>
      </c>
      <c r="G144" s="11">
        <f t="shared" si="2"/>
        <v>11</v>
      </c>
      <c r="H144" s="9" t="s">
        <v>678</v>
      </c>
      <c r="I144" s="12" t="s">
        <v>679</v>
      </c>
      <c r="J144" s="9" t="s">
        <v>680</v>
      </c>
      <c r="K144" s="9" t="s">
        <v>681</v>
      </c>
      <c r="L144" s="13">
        <v>358658</v>
      </c>
      <c r="M144" s="8">
        <v>110</v>
      </c>
      <c r="N144" s="8">
        <v>130</v>
      </c>
      <c r="O144" s="9" t="s">
        <v>47</v>
      </c>
      <c r="P144" s="9" t="s">
        <v>118</v>
      </c>
      <c r="Q144" s="6"/>
    </row>
    <row r="145" spans="1:17" ht="25.5" x14ac:dyDescent="0.25">
      <c r="A145" s="8">
        <v>176</v>
      </c>
      <c r="B145" s="8" t="s">
        <v>122</v>
      </c>
      <c r="C145" s="9" t="s">
        <v>682</v>
      </c>
      <c r="D145" s="9" t="s">
        <v>683</v>
      </c>
      <c r="E145" s="10">
        <v>42617</v>
      </c>
      <c r="F145" s="10">
        <v>42640</v>
      </c>
      <c r="G145" s="11">
        <f t="shared" si="2"/>
        <v>24</v>
      </c>
      <c r="H145" s="9" t="s">
        <v>684</v>
      </c>
      <c r="I145" s="12" t="s">
        <v>685</v>
      </c>
      <c r="J145" s="9" t="s">
        <v>686</v>
      </c>
      <c r="K145" s="9" t="s">
        <v>687</v>
      </c>
      <c r="L145" s="13">
        <v>151000</v>
      </c>
      <c r="M145" s="8">
        <v>50</v>
      </c>
      <c r="N145" s="8">
        <v>60</v>
      </c>
      <c r="O145" s="9" t="s">
        <v>47</v>
      </c>
      <c r="P145" s="9" t="s">
        <v>63</v>
      </c>
      <c r="Q145" s="6"/>
    </row>
    <row r="146" spans="1:17" ht="38.25" x14ac:dyDescent="0.25">
      <c r="A146" s="8">
        <v>175</v>
      </c>
      <c r="B146" s="8" t="s">
        <v>56</v>
      </c>
      <c r="C146" s="9" t="s">
        <v>688</v>
      </c>
      <c r="D146" s="9" t="s">
        <v>689</v>
      </c>
      <c r="E146" s="14">
        <v>42557</v>
      </c>
      <c r="F146" s="14">
        <v>42564</v>
      </c>
      <c r="G146" s="11">
        <f t="shared" si="2"/>
        <v>8</v>
      </c>
      <c r="H146" s="9" t="s">
        <v>690</v>
      </c>
      <c r="I146" s="12" t="s">
        <v>691</v>
      </c>
      <c r="J146" s="9" t="s">
        <v>692</v>
      </c>
      <c r="K146" s="9" t="s">
        <v>92</v>
      </c>
      <c r="L146" s="13">
        <v>326000</v>
      </c>
      <c r="M146" s="8">
        <v>50</v>
      </c>
      <c r="N146" s="8">
        <v>60</v>
      </c>
      <c r="O146" s="9" t="s">
        <v>47</v>
      </c>
      <c r="P146" s="9" t="s">
        <v>63</v>
      </c>
      <c r="Q146" s="6"/>
    </row>
    <row r="147" spans="1:17" ht="25.5" x14ac:dyDescent="0.25">
      <c r="A147" s="8">
        <v>174</v>
      </c>
      <c r="B147" s="8" t="s">
        <v>136</v>
      </c>
      <c r="C147" s="9" t="s">
        <v>694</v>
      </c>
      <c r="D147" s="9" t="s">
        <v>695</v>
      </c>
      <c r="E147" s="10">
        <v>42558</v>
      </c>
      <c r="F147" s="10">
        <v>42564</v>
      </c>
      <c r="G147" s="11">
        <f t="shared" si="2"/>
        <v>7</v>
      </c>
      <c r="H147" s="9" t="s">
        <v>696</v>
      </c>
      <c r="I147" s="12" t="s">
        <v>697</v>
      </c>
      <c r="J147" s="9" t="s">
        <v>516</v>
      </c>
      <c r="K147" s="9" t="s">
        <v>698</v>
      </c>
      <c r="L147" s="13">
        <v>106344</v>
      </c>
      <c r="M147" s="8">
        <v>50</v>
      </c>
      <c r="N147" s="8">
        <v>60</v>
      </c>
      <c r="O147" s="9" t="s">
        <v>107</v>
      </c>
      <c r="P147" s="9" t="s">
        <v>168</v>
      </c>
      <c r="Q147" s="6"/>
    </row>
    <row r="148" spans="1:17" ht="25.5" x14ac:dyDescent="0.25">
      <c r="A148" s="8">
        <v>173</v>
      </c>
      <c r="B148" s="8" t="s">
        <v>699</v>
      </c>
      <c r="C148" s="9" t="s">
        <v>700</v>
      </c>
      <c r="D148" s="9" t="s">
        <v>701</v>
      </c>
      <c r="E148" s="10">
        <v>42546</v>
      </c>
      <c r="F148" s="10">
        <v>42551</v>
      </c>
      <c r="G148" s="11">
        <f t="shared" si="2"/>
        <v>6</v>
      </c>
      <c r="H148" s="9" t="s">
        <v>702</v>
      </c>
      <c r="I148" s="12" t="s">
        <v>703</v>
      </c>
      <c r="J148" s="9" t="s">
        <v>704</v>
      </c>
      <c r="K148" s="9" t="s">
        <v>705</v>
      </c>
      <c r="L148" s="13">
        <v>209733</v>
      </c>
      <c r="M148" s="8">
        <v>110</v>
      </c>
      <c r="N148" s="8">
        <v>110</v>
      </c>
      <c r="O148" s="9" t="s">
        <v>47</v>
      </c>
      <c r="P148" s="9" t="s">
        <v>63</v>
      </c>
      <c r="Q148" s="6"/>
    </row>
    <row r="149" spans="1:17" ht="63.75" x14ac:dyDescent="0.25">
      <c r="A149" s="8">
        <v>172</v>
      </c>
      <c r="B149" s="8" t="s">
        <v>25</v>
      </c>
      <c r="C149" s="9" t="s">
        <v>706</v>
      </c>
      <c r="D149" s="9" t="s">
        <v>528</v>
      </c>
      <c r="E149" s="10">
        <v>42534</v>
      </c>
      <c r="F149" s="10">
        <v>42617</v>
      </c>
      <c r="G149" s="11">
        <f t="shared" si="2"/>
        <v>84</v>
      </c>
      <c r="H149" s="9" t="s">
        <v>529</v>
      </c>
      <c r="I149" s="12" t="s">
        <v>530</v>
      </c>
      <c r="J149" s="9" t="s">
        <v>531</v>
      </c>
      <c r="K149" s="9" t="s">
        <v>532</v>
      </c>
      <c r="L149" s="13">
        <v>5837449.4800000004</v>
      </c>
      <c r="M149" s="8">
        <v>50</v>
      </c>
      <c r="N149" s="8">
        <v>60</v>
      </c>
      <c r="O149" s="9" t="s">
        <v>47</v>
      </c>
      <c r="P149" s="9" t="s">
        <v>63</v>
      </c>
      <c r="Q149" s="6"/>
    </row>
    <row r="150" spans="1:17" ht="38.25" x14ac:dyDescent="0.25">
      <c r="A150" s="8">
        <v>171</v>
      </c>
      <c r="B150" s="8" t="s">
        <v>122</v>
      </c>
      <c r="C150" s="9" t="s">
        <v>707</v>
      </c>
      <c r="D150" s="9" t="s">
        <v>708</v>
      </c>
      <c r="E150" s="10">
        <v>42518</v>
      </c>
      <c r="F150" s="10">
        <v>42533</v>
      </c>
      <c r="G150" s="11">
        <f t="shared" si="2"/>
        <v>16</v>
      </c>
      <c r="H150" s="9" t="s">
        <v>709</v>
      </c>
      <c r="I150" s="12" t="s">
        <v>685</v>
      </c>
      <c r="J150" s="9" t="s">
        <v>710</v>
      </c>
      <c r="K150" s="9" t="s">
        <v>711</v>
      </c>
      <c r="L150" s="13">
        <v>135000</v>
      </c>
      <c r="M150" s="8">
        <v>55</v>
      </c>
      <c r="N150" s="8">
        <v>55</v>
      </c>
      <c r="O150" s="9" t="s">
        <v>47</v>
      </c>
      <c r="P150" s="9" t="s">
        <v>63</v>
      </c>
      <c r="Q150" s="6"/>
    </row>
    <row r="151" spans="1:17" ht="51" x14ac:dyDescent="0.25">
      <c r="A151" s="8">
        <v>170</v>
      </c>
      <c r="B151" s="8" t="s">
        <v>79</v>
      </c>
      <c r="C151" s="9" t="s">
        <v>712</v>
      </c>
      <c r="D151" s="9" t="s">
        <v>316</v>
      </c>
      <c r="E151" s="10">
        <v>42517</v>
      </c>
      <c r="F151" s="10">
        <v>42542</v>
      </c>
      <c r="G151" s="11">
        <f t="shared" si="2"/>
        <v>26</v>
      </c>
      <c r="H151" s="9" t="s">
        <v>713</v>
      </c>
      <c r="I151" s="12" t="s">
        <v>206</v>
      </c>
      <c r="J151" s="9" t="s">
        <v>714</v>
      </c>
      <c r="K151" s="9" t="s">
        <v>715</v>
      </c>
      <c r="L151" s="13">
        <v>128432</v>
      </c>
      <c r="M151" s="8">
        <v>113</v>
      </c>
      <c r="N151" s="8">
        <v>113</v>
      </c>
      <c r="O151" s="9" t="s">
        <v>110</v>
      </c>
      <c r="P151" s="9" t="s">
        <v>343</v>
      </c>
      <c r="Q151" s="6"/>
    </row>
    <row r="152" spans="1:17" ht="38.25" x14ac:dyDescent="0.25">
      <c r="A152" s="8">
        <v>169</v>
      </c>
      <c r="B152" s="8" t="s">
        <v>354</v>
      </c>
      <c r="C152" s="9" t="s">
        <v>716</v>
      </c>
      <c r="D152" s="9" t="s">
        <v>717</v>
      </c>
      <c r="E152" s="10">
        <v>42482</v>
      </c>
      <c r="F152" s="10">
        <v>42517</v>
      </c>
      <c r="G152" s="11">
        <f t="shared" si="2"/>
        <v>36</v>
      </c>
      <c r="H152" s="9" t="s">
        <v>669</v>
      </c>
      <c r="I152" s="12" t="s">
        <v>670</v>
      </c>
      <c r="J152" s="9" t="s">
        <v>718</v>
      </c>
      <c r="K152" s="9" t="s">
        <v>672</v>
      </c>
      <c r="L152" s="13">
        <v>996296</v>
      </c>
      <c r="M152" s="8">
        <v>100</v>
      </c>
      <c r="N152" s="8">
        <v>100</v>
      </c>
      <c r="O152" s="9" t="s">
        <v>47</v>
      </c>
      <c r="P152" s="9" t="s">
        <v>673</v>
      </c>
      <c r="Q152" s="6"/>
    </row>
    <row r="153" spans="1:17" ht="51" x14ac:dyDescent="0.25">
      <c r="A153" s="8">
        <v>168</v>
      </c>
      <c r="B153" s="8" t="s">
        <v>719</v>
      </c>
      <c r="C153" s="9" t="s">
        <v>720</v>
      </c>
      <c r="D153" s="9" t="s">
        <v>721</v>
      </c>
      <c r="E153" s="10">
        <v>42475</v>
      </c>
      <c r="F153" s="10">
        <v>42485</v>
      </c>
      <c r="G153" s="11">
        <f t="shared" si="2"/>
        <v>11</v>
      </c>
      <c r="H153" s="9" t="s">
        <v>722</v>
      </c>
      <c r="I153" s="12" t="s">
        <v>723</v>
      </c>
      <c r="J153" s="9" t="s">
        <v>724</v>
      </c>
      <c r="K153" s="9" t="s">
        <v>92</v>
      </c>
      <c r="L153" s="13">
        <v>111580</v>
      </c>
      <c r="M153" s="8">
        <v>50</v>
      </c>
      <c r="N153" s="8">
        <v>50</v>
      </c>
      <c r="O153" s="9" t="s">
        <v>107</v>
      </c>
      <c r="P153" s="9" t="s">
        <v>639</v>
      </c>
      <c r="Q153" s="6"/>
    </row>
    <row r="154" spans="1:17" ht="25.5" x14ac:dyDescent="0.25">
      <c r="A154" s="8">
        <v>167</v>
      </c>
      <c r="B154" s="8" t="s">
        <v>79</v>
      </c>
      <c r="C154" s="9" t="s">
        <v>712</v>
      </c>
      <c r="D154" s="9" t="s">
        <v>316</v>
      </c>
      <c r="E154" s="10">
        <v>42467</v>
      </c>
      <c r="F154" s="10">
        <v>42478</v>
      </c>
      <c r="G154" s="11">
        <f t="shared" si="2"/>
        <v>12</v>
      </c>
      <c r="H154" s="9" t="s">
        <v>713</v>
      </c>
      <c r="I154" s="12" t="s">
        <v>206</v>
      </c>
      <c r="J154" s="9" t="s">
        <v>725</v>
      </c>
      <c r="K154" s="9" t="s">
        <v>715</v>
      </c>
      <c r="L154" s="13">
        <v>108384</v>
      </c>
      <c r="M154" s="8">
        <v>113</v>
      </c>
      <c r="N154" s="8">
        <v>113</v>
      </c>
      <c r="O154" s="9" t="s">
        <v>110</v>
      </c>
      <c r="P154" s="9" t="s">
        <v>343</v>
      </c>
      <c r="Q154" s="6"/>
    </row>
    <row r="155" spans="1:17" x14ac:dyDescent="0.25">
      <c r="A155" s="8">
        <v>166</v>
      </c>
      <c r="B155" s="8" t="s">
        <v>613</v>
      </c>
      <c r="C155" s="9" t="s">
        <v>726</v>
      </c>
      <c r="D155" s="9" t="s">
        <v>306</v>
      </c>
      <c r="E155" s="10">
        <v>42459</v>
      </c>
      <c r="F155" s="10">
        <v>42464</v>
      </c>
      <c r="G155" s="11">
        <f t="shared" si="2"/>
        <v>6</v>
      </c>
      <c r="H155" s="9" t="s">
        <v>727</v>
      </c>
      <c r="I155" s="12" t="s">
        <v>728</v>
      </c>
      <c r="J155" s="9" t="s">
        <v>516</v>
      </c>
      <c r="K155" s="9" t="s">
        <v>729</v>
      </c>
      <c r="L155" s="13">
        <v>92888</v>
      </c>
      <c r="M155" s="8">
        <v>80</v>
      </c>
      <c r="N155" s="8">
        <v>100</v>
      </c>
      <c r="O155" s="9" t="s">
        <v>110</v>
      </c>
      <c r="P155" s="9" t="s">
        <v>618</v>
      </c>
      <c r="Q155" s="6"/>
    </row>
    <row r="156" spans="1:17" ht="25.5" x14ac:dyDescent="0.25">
      <c r="A156" s="8">
        <v>165</v>
      </c>
      <c r="B156" s="8" t="s">
        <v>136</v>
      </c>
      <c r="C156" s="9" t="s">
        <v>694</v>
      </c>
      <c r="D156" s="9" t="s">
        <v>695</v>
      </c>
      <c r="E156" s="10">
        <v>42395</v>
      </c>
      <c r="F156" s="10">
        <v>42399</v>
      </c>
      <c r="G156" s="11">
        <f t="shared" si="2"/>
        <v>5</v>
      </c>
      <c r="H156" s="9" t="s">
        <v>696</v>
      </c>
      <c r="I156" s="12" t="s">
        <v>697</v>
      </c>
      <c r="J156" s="9" t="s">
        <v>516</v>
      </c>
      <c r="K156" s="9" t="s">
        <v>730</v>
      </c>
      <c r="L156" s="13">
        <v>95000</v>
      </c>
      <c r="M156" s="8">
        <v>50</v>
      </c>
      <c r="N156" s="8">
        <v>60</v>
      </c>
      <c r="O156" s="9" t="s">
        <v>107</v>
      </c>
      <c r="P156" s="9" t="s">
        <v>168</v>
      </c>
      <c r="Q156" s="6"/>
    </row>
    <row r="157" spans="1:17" ht="25.5" x14ac:dyDescent="0.25">
      <c r="A157" s="8">
        <v>164</v>
      </c>
      <c r="B157" s="8" t="s">
        <v>173</v>
      </c>
      <c r="C157" s="9" t="s">
        <v>731</v>
      </c>
      <c r="D157" s="9" t="s">
        <v>316</v>
      </c>
      <c r="E157" s="10">
        <v>42340</v>
      </c>
      <c r="F157" s="10">
        <v>42347</v>
      </c>
      <c r="G157" s="11">
        <f t="shared" si="2"/>
        <v>8</v>
      </c>
      <c r="H157" s="9" t="s">
        <v>494</v>
      </c>
      <c r="I157" s="12" t="s">
        <v>495</v>
      </c>
      <c r="J157" s="9" t="s">
        <v>732</v>
      </c>
      <c r="K157" s="9" t="s">
        <v>733</v>
      </c>
      <c r="L157" s="13">
        <v>53055</v>
      </c>
      <c r="M157" s="8">
        <v>60</v>
      </c>
      <c r="N157" s="8">
        <v>60</v>
      </c>
      <c r="O157" s="9" t="s">
        <v>734</v>
      </c>
      <c r="P157" s="9" t="s">
        <v>220</v>
      </c>
      <c r="Q157" s="6"/>
    </row>
    <row r="158" spans="1:17" ht="25.5" x14ac:dyDescent="0.25">
      <c r="A158" s="8">
        <v>163</v>
      </c>
      <c r="B158" s="8" t="s">
        <v>173</v>
      </c>
      <c r="C158" s="9" t="s">
        <v>735</v>
      </c>
      <c r="D158" s="9" t="s">
        <v>316</v>
      </c>
      <c r="E158" s="10">
        <v>42324</v>
      </c>
      <c r="F158" s="10">
        <v>42331</v>
      </c>
      <c r="G158" s="11">
        <f t="shared" si="2"/>
        <v>8</v>
      </c>
      <c r="H158" s="9" t="s">
        <v>494</v>
      </c>
      <c r="I158" s="12" t="s">
        <v>495</v>
      </c>
      <c r="J158" s="9" t="s">
        <v>736</v>
      </c>
      <c r="K158" s="9" t="s">
        <v>737</v>
      </c>
      <c r="L158" s="13">
        <v>57069</v>
      </c>
      <c r="M158" s="8">
        <v>110</v>
      </c>
      <c r="N158" s="8">
        <v>110</v>
      </c>
      <c r="O158" s="9" t="s">
        <v>738</v>
      </c>
      <c r="P158" s="9" t="s">
        <v>320</v>
      </c>
      <c r="Q158" s="6"/>
    </row>
    <row r="159" spans="1:17" ht="25.5" x14ac:dyDescent="0.25">
      <c r="A159" s="8">
        <v>162</v>
      </c>
      <c r="B159" s="8" t="s">
        <v>173</v>
      </c>
      <c r="C159" s="9" t="s">
        <v>735</v>
      </c>
      <c r="D159" s="9" t="s">
        <v>316</v>
      </c>
      <c r="E159" s="10">
        <v>42293</v>
      </c>
      <c r="F159" s="10">
        <v>42301</v>
      </c>
      <c r="G159" s="11">
        <f t="shared" si="2"/>
        <v>9</v>
      </c>
      <c r="H159" s="9" t="s">
        <v>494</v>
      </c>
      <c r="I159" s="12" t="s">
        <v>495</v>
      </c>
      <c r="J159" s="9" t="s">
        <v>736</v>
      </c>
      <c r="K159" s="9" t="s">
        <v>739</v>
      </c>
      <c r="L159" s="13">
        <v>79688</v>
      </c>
      <c r="M159" s="8">
        <v>110</v>
      </c>
      <c r="N159" s="8">
        <v>110</v>
      </c>
      <c r="O159" s="9" t="s">
        <v>738</v>
      </c>
      <c r="P159" s="9" t="s">
        <v>320</v>
      </c>
      <c r="Q159" s="6"/>
    </row>
    <row r="160" spans="1:17" ht="25.5" x14ac:dyDescent="0.25">
      <c r="A160" s="8">
        <v>161</v>
      </c>
      <c r="B160" s="8" t="s">
        <v>173</v>
      </c>
      <c r="C160" s="9" t="s">
        <v>740</v>
      </c>
      <c r="D160" s="9" t="s">
        <v>316</v>
      </c>
      <c r="E160" s="10">
        <v>42274</v>
      </c>
      <c r="F160" s="10">
        <v>42288</v>
      </c>
      <c r="G160" s="11">
        <f t="shared" si="2"/>
        <v>15</v>
      </c>
      <c r="H160" s="9" t="s">
        <v>494</v>
      </c>
      <c r="I160" s="12" t="s">
        <v>495</v>
      </c>
      <c r="J160" s="9" t="s">
        <v>741</v>
      </c>
      <c r="K160" s="9" t="s">
        <v>742</v>
      </c>
      <c r="L160" s="13">
        <v>104268</v>
      </c>
      <c r="M160" s="8">
        <v>60</v>
      </c>
      <c r="N160" s="8">
        <v>60</v>
      </c>
      <c r="O160" s="9" t="s">
        <v>738</v>
      </c>
      <c r="P160" s="9" t="s">
        <v>220</v>
      </c>
      <c r="Q160" s="6"/>
    </row>
    <row r="161" spans="1:17" ht="38.25" x14ac:dyDescent="0.25">
      <c r="A161" s="8">
        <v>160</v>
      </c>
      <c r="B161" s="8" t="s">
        <v>173</v>
      </c>
      <c r="C161" s="9" t="s">
        <v>743</v>
      </c>
      <c r="D161" s="9" t="s">
        <v>316</v>
      </c>
      <c r="E161" s="10">
        <v>42254</v>
      </c>
      <c r="F161" s="10">
        <v>42260</v>
      </c>
      <c r="G161" s="11">
        <f t="shared" si="2"/>
        <v>7</v>
      </c>
      <c r="H161" s="9" t="s">
        <v>744</v>
      </c>
      <c r="I161" s="12" t="s">
        <v>745</v>
      </c>
      <c r="J161" s="9" t="s">
        <v>50</v>
      </c>
      <c r="K161" s="9" t="s">
        <v>746</v>
      </c>
      <c r="L161" s="13">
        <v>52840</v>
      </c>
      <c r="M161" s="8">
        <v>60</v>
      </c>
      <c r="N161" s="8">
        <v>60</v>
      </c>
      <c r="O161" s="9" t="s">
        <v>734</v>
      </c>
      <c r="P161" s="9" t="s">
        <v>747</v>
      </c>
      <c r="Q161" s="6"/>
    </row>
    <row r="162" spans="1:17" ht="38.25" x14ac:dyDescent="0.25">
      <c r="A162" s="8">
        <v>159</v>
      </c>
      <c r="B162" s="8" t="s">
        <v>748</v>
      </c>
      <c r="C162" s="9" t="s">
        <v>749</v>
      </c>
      <c r="D162" s="9" t="s">
        <v>316</v>
      </c>
      <c r="E162" s="10">
        <v>42193</v>
      </c>
      <c r="F162" s="10">
        <v>42388</v>
      </c>
      <c r="G162" s="11">
        <f t="shared" si="2"/>
        <v>196</v>
      </c>
      <c r="H162" s="9" t="s">
        <v>750</v>
      </c>
      <c r="I162" s="12"/>
      <c r="J162" s="9" t="s">
        <v>751</v>
      </c>
      <c r="K162" s="9" t="s">
        <v>752</v>
      </c>
      <c r="L162" s="13">
        <v>137000</v>
      </c>
      <c r="M162" s="8">
        <v>1658</v>
      </c>
      <c r="N162" s="8">
        <v>1658</v>
      </c>
      <c r="O162" s="9" t="s">
        <v>753</v>
      </c>
      <c r="P162" s="9" t="s">
        <v>612</v>
      </c>
      <c r="Q162" s="6"/>
    </row>
    <row r="163" spans="1:17" ht="51" x14ac:dyDescent="0.25">
      <c r="A163" s="8">
        <v>158</v>
      </c>
      <c r="B163" s="8" t="s">
        <v>619</v>
      </c>
      <c r="C163" s="9" t="s">
        <v>754</v>
      </c>
      <c r="D163" s="9" t="s">
        <v>755</v>
      </c>
      <c r="E163" s="10">
        <v>42237</v>
      </c>
      <c r="F163" s="10">
        <v>42270</v>
      </c>
      <c r="G163" s="11">
        <f t="shared" si="2"/>
        <v>34</v>
      </c>
      <c r="H163" s="9" t="s">
        <v>756</v>
      </c>
      <c r="I163" s="12" t="s">
        <v>757</v>
      </c>
      <c r="J163" s="9" t="s">
        <v>758</v>
      </c>
      <c r="K163" s="9" t="s">
        <v>759</v>
      </c>
      <c r="L163" s="13">
        <v>2152808</v>
      </c>
      <c r="M163" s="8">
        <v>50</v>
      </c>
      <c r="N163" s="8">
        <v>50</v>
      </c>
      <c r="O163" s="9" t="s">
        <v>110</v>
      </c>
      <c r="P163" s="9" t="s">
        <v>760</v>
      </c>
      <c r="Q163" s="6"/>
    </row>
    <row r="164" spans="1:17" ht="38.25" x14ac:dyDescent="0.25">
      <c r="A164" s="8">
        <v>157</v>
      </c>
      <c r="B164" s="8" t="s">
        <v>762</v>
      </c>
      <c r="C164" s="9" t="s">
        <v>763</v>
      </c>
      <c r="D164" s="9" t="s">
        <v>755</v>
      </c>
      <c r="E164" s="14">
        <v>42231</v>
      </c>
      <c r="F164" s="14">
        <v>42237</v>
      </c>
      <c r="G164" s="11">
        <f t="shared" si="2"/>
        <v>7</v>
      </c>
      <c r="H164" s="9" t="s">
        <v>663</v>
      </c>
      <c r="I164" s="12" t="s">
        <v>664</v>
      </c>
      <c r="J164" s="9" t="s">
        <v>764</v>
      </c>
      <c r="K164" s="9" t="s">
        <v>765</v>
      </c>
      <c r="L164" s="13">
        <v>597257</v>
      </c>
      <c r="M164" s="8">
        <v>50</v>
      </c>
      <c r="N164" s="8">
        <v>50</v>
      </c>
      <c r="O164" s="9" t="s">
        <v>110</v>
      </c>
      <c r="P164" s="9" t="s">
        <v>760</v>
      </c>
      <c r="Q164" s="6"/>
    </row>
    <row r="165" spans="1:17" ht="25.5" x14ac:dyDescent="0.25">
      <c r="A165" s="8">
        <v>156</v>
      </c>
      <c r="B165" s="8" t="s">
        <v>173</v>
      </c>
      <c r="C165" s="9" t="s">
        <v>743</v>
      </c>
      <c r="D165" s="9" t="s">
        <v>316</v>
      </c>
      <c r="E165" s="10">
        <v>42214</v>
      </c>
      <c r="F165" s="10">
        <v>42238</v>
      </c>
      <c r="G165" s="11">
        <f t="shared" si="2"/>
        <v>25</v>
      </c>
      <c r="H165" s="9" t="s">
        <v>494</v>
      </c>
      <c r="I165" s="12" t="s">
        <v>495</v>
      </c>
      <c r="J165" s="9" t="s">
        <v>767</v>
      </c>
      <c r="K165" s="9" t="s">
        <v>768</v>
      </c>
      <c r="L165" s="13">
        <v>127051</v>
      </c>
      <c r="M165" s="8">
        <v>110</v>
      </c>
      <c r="N165" s="8">
        <v>110</v>
      </c>
      <c r="O165" s="9" t="s">
        <v>738</v>
      </c>
      <c r="P165" s="9" t="s">
        <v>320</v>
      </c>
      <c r="Q165" s="6"/>
    </row>
    <row r="166" spans="1:17" ht="25.5" x14ac:dyDescent="0.25">
      <c r="A166" s="8">
        <v>155</v>
      </c>
      <c r="B166" s="8" t="s">
        <v>640</v>
      </c>
      <c r="C166" s="9" t="s">
        <v>769</v>
      </c>
      <c r="D166" s="9" t="s">
        <v>770</v>
      </c>
      <c r="E166" s="10">
        <v>42217</v>
      </c>
      <c r="F166" s="10">
        <v>42221</v>
      </c>
      <c r="G166" s="11">
        <f t="shared" si="2"/>
        <v>5</v>
      </c>
      <c r="H166" s="9" t="s">
        <v>771</v>
      </c>
      <c r="I166" s="12" t="s">
        <v>772</v>
      </c>
      <c r="J166" s="9" t="s">
        <v>773</v>
      </c>
      <c r="K166" s="9" t="s">
        <v>774</v>
      </c>
      <c r="L166" s="13">
        <v>719939</v>
      </c>
      <c r="M166" s="8">
        <v>85</v>
      </c>
      <c r="N166" s="8">
        <v>85</v>
      </c>
      <c r="O166" s="9" t="s">
        <v>110</v>
      </c>
      <c r="P166" s="9" t="s">
        <v>760</v>
      </c>
      <c r="Q166" s="6"/>
    </row>
    <row r="167" spans="1:17" ht="25.5" x14ac:dyDescent="0.25">
      <c r="A167" s="8">
        <v>154</v>
      </c>
      <c r="B167" s="8" t="s">
        <v>173</v>
      </c>
      <c r="C167" s="9" t="s">
        <v>775</v>
      </c>
      <c r="D167" s="9" t="s">
        <v>776</v>
      </c>
      <c r="E167" s="10">
        <v>42205</v>
      </c>
      <c r="F167" s="10">
        <v>42217</v>
      </c>
      <c r="G167" s="11">
        <f t="shared" si="2"/>
        <v>13</v>
      </c>
      <c r="H167" s="9" t="s">
        <v>494</v>
      </c>
      <c r="I167" s="12" t="s">
        <v>495</v>
      </c>
      <c r="J167" s="9" t="s">
        <v>777</v>
      </c>
      <c r="K167" s="9" t="s">
        <v>778</v>
      </c>
      <c r="L167" s="13">
        <v>1872052</v>
      </c>
      <c r="M167" s="8">
        <v>110</v>
      </c>
      <c r="N167" s="8">
        <v>110</v>
      </c>
      <c r="O167" s="9" t="s">
        <v>110</v>
      </c>
      <c r="P167" s="9" t="s">
        <v>760</v>
      </c>
      <c r="Q167" s="6"/>
    </row>
    <row r="168" spans="1:17" ht="38.25" x14ac:dyDescent="0.25">
      <c r="A168" s="8">
        <v>153</v>
      </c>
      <c r="B168" s="8" t="s">
        <v>173</v>
      </c>
      <c r="C168" s="9" t="s">
        <v>743</v>
      </c>
      <c r="D168" s="9" t="s">
        <v>316</v>
      </c>
      <c r="E168" s="10">
        <v>42198</v>
      </c>
      <c r="F168" s="10">
        <v>42213</v>
      </c>
      <c r="G168" s="11">
        <f t="shared" si="2"/>
        <v>16</v>
      </c>
      <c r="H168" s="9" t="s">
        <v>744</v>
      </c>
      <c r="I168" s="12" t="s">
        <v>745</v>
      </c>
      <c r="J168" s="9" t="s">
        <v>779</v>
      </c>
      <c r="K168" s="9" t="s">
        <v>746</v>
      </c>
      <c r="L168" s="13">
        <v>98320</v>
      </c>
      <c r="M168" s="8">
        <v>60</v>
      </c>
      <c r="N168" s="8">
        <v>60</v>
      </c>
      <c r="O168" s="9" t="s">
        <v>734</v>
      </c>
      <c r="P168" s="9" t="s">
        <v>747</v>
      </c>
      <c r="Q168" s="6"/>
    </row>
    <row r="169" spans="1:17" ht="38.25" x14ac:dyDescent="0.25">
      <c r="A169" s="8">
        <v>152</v>
      </c>
      <c r="B169" s="8" t="s">
        <v>619</v>
      </c>
      <c r="C169" s="9" t="s">
        <v>780</v>
      </c>
      <c r="D169" s="9" t="s">
        <v>316</v>
      </c>
      <c r="E169" s="10">
        <v>42185</v>
      </c>
      <c r="F169" s="10">
        <v>42216</v>
      </c>
      <c r="G169" s="11">
        <f t="shared" si="2"/>
        <v>32</v>
      </c>
      <c r="H169" s="9" t="s">
        <v>781</v>
      </c>
      <c r="I169" s="12" t="s">
        <v>782</v>
      </c>
      <c r="J169" s="9" t="s">
        <v>50</v>
      </c>
      <c r="K169" s="9" t="s">
        <v>759</v>
      </c>
      <c r="L169" s="13">
        <v>263267</v>
      </c>
      <c r="M169" s="8">
        <v>50</v>
      </c>
      <c r="N169" s="8">
        <v>50</v>
      </c>
      <c r="O169" s="9" t="s">
        <v>626</v>
      </c>
      <c r="P169" s="9" t="s">
        <v>783</v>
      </c>
      <c r="Q169" s="6"/>
    </row>
    <row r="170" spans="1:17" ht="25.5" x14ac:dyDescent="0.25">
      <c r="A170" s="8">
        <v>151</v>
      </c>
      <c r="B170" s="8" t="s">
        <v>136</v>
      </c>
      <c r="C170" s="9" t="s">
        <v>784</v>
      </c>
      <c r="D170" s="9" t="s">
        <v>755</v>
      </c>
      <c r="E170" s="10">
        <v>42186</v>
      </c>
      <c r="F170" s="10">
        <v>42232</v>
      </c>
      <c r="G170" s="11">
        <f t="shared" si="2"/>
        <v>47</v>
      </c>
      <c r="H170" s="9" t="s">
        <v>508</v>
      </c>
      <c r="I170" s="12" t="s">
        <v>509</v>
      </c>
      <c r="J170" s="9" t="s">
        <v>785</v>
      </c>
      <c r="K170" s="9" t="s">
        <v>92</v>
      </c>
      <c r="L170" s="13">
        <v>2910176</v>
      </c>
      <c r="M170" s="8">
        <v>50</v>
      </c>
      <c r="N170" s="8">
        <v>60</v>
      </c>
      <c r="O170" s="9" t="s">
        <v>47</v>
      </c>
      <c r="P170" s="9" t="s">
        <v>786</v>
      </c>
      <c r="Q170" s="6"/>
    </row>
    <row r="171" spans="1:17" ht="38.25" x14ac:dyDescent="0.25">
      <c r="A171" s="8">
        <v>150</v>
      </c>
      <c r="B171" s="8" t="s">
        <v>173</v>
      </c>
      <c r="C171" s="9" t="s">
        <v>743</v>
      </c>
      <c r="D171" s="9" t="s">
        <v>316</v>
      </c>
      <c r="E171" s="10">
        <v>42183</v>
      </c>
      <c r="F171" s="10">
        <v>42191</v>
      </c>
      <c r="G171" s="11">
        <f t="shared" si="2"/>
        <v>9</v>
      </c>
      <c r="H171" s="9" t="s">
        <v>744</v>
      </c>
      <c r="I171" s="12" t="s">
        <v>745</v>
      </c>
      <c r="J171" s="9" t="s">
        <v>779</v>
      </c>
      <c r="K171" s="9" t="s">
        <v>787</v>
      </c>
      <c r="L171" s="13">
        <v>80420</v>
      </c>
      <c r="M171" s="8">
        <v>67</v>
      </c>
      <c r="N171" s="8">
        <v>67</v>
      </c>
      <c r="O171" s="9" t="s">
        <v>788</v>
      </c>
      <c r="P171" s="9" t="s">
        <v>747</v>
      </c>
      <c r="Q171" s="6"/>
    </row>
    <row r="172" spans="1:17" ht="51" x14ac:dyDescent="0.25">
      <c r="A172" s="8">
        <v>149</v>
      </c>
      <c r="B172" s="8" t="s">
        <v>173</v>
      </c>
      <c r="C172" s="9" t="s">
        <v>743</v>
      </c>
      <c r="D172" s="9" t="s">
        <v>316</v>
      </c>
      <c r="E172" s="10">
        <v>42157</v>
      </c>
      <c r="F172" s="10">
        <v>42171</v>
      </c>
      <c r="G172" s="11">
        <f t="shared" si="2"/>
        <v>15</v>
      </c>
      <c r="H172" s="9" t="s">
        <v>494</v>
      </c>
      <c r="I172" s="12" t="s">
        <v>495</v>
      </c>
      <c r="J172" s="9" t="s">
        <v>789</v>
      </c>
      <c r="K172" s="9" t="s">
        <v>790</v>
      </c>
      <c r="L172" s="13">
        <v>98200</v>
      </c>
      <c r="M172" s="8">
        <v>60</v>
      </c>
      <c r="N172" s="8">
        <v>60</v>
      </c>
      <c r="O172" s="9" t="s">
        <v>791</v>
      </c>
      <c r="P172" s="9" t="s">
        <v>220</v>
      </c>
      <c r="Q172" s="6"/>
    </row>
    <row r="173" spans="1:17" ht="25.5" x14ac:dyDescent="0.25">
      <c r="A173" s="8">
        <v>148</v>
      </c>
      <c r="B173" s="8" t="s">
        <v>164</v>
      </c>
      <c r="C173" s="9" t="s">
        <v>792</v>
      </c>
      <c r="D173" s="9" t="s">
        <v>677</v>
      </c>
      <c r="E173" s="10">
        <v>42145</v>
      </c>
      <c r="F173" s="10">
        <v>42162</v>
      </c>
      <c r="G173" s="11">
        <f t="shared" si="2"/>
        <v>18</v>
      </c>
      <c r="H173" s="9" t="s">
        <v>793</v>
      </c>
      <c r="I173" s="12" t="s">
        <v>794</v>
      </c>
      <c r="J173" s="9" t="s">
        <v>795</v>
      </c>
      <c r="K173" s="9" t="s">
        <v>681</v>
      </c>
      <c r="L173" s="13">
        <v>741264</v>
      </c>
      <c r="M173" s="8">
        <v>110</v>
      </c>
      <c r="N173" s="8">
        <v>130</v>
      </c>
      <c r="O173" s="9" t="s">
        <v>796</v>
      </c>
      <c r="P173" s="9" t="s">
        <v>118</v>
      </c>
      <c r="Q173" s="6"/>
    </row>
    <row r="174" spans="1:17" ht="25.5" x14ac:dyDescent="0.25">
      <c r="A174" s="8">
        <v>147</v>
      </c>
      <c r="B174" s="8" t="s">
        <v>173</v>
      </c>
      <c r="C174" s="9" t="s">
        <v>743</v>
      </c>
      <c r="D174" s="9" t="s">
        <v>316</v>
      </c>
      <c r="E174" s="10">
        <v>42141</v>
      </c>
      <c r="F174" s="10">
        <v>42153</v>
      </c>
      <c r="G174" s="11">
        <f t="shared" si="2"/>
        <v>13</v>
      </c>
      <c r="H174" s="9" t="s">
        <v>494</v>
      </c>
      <c r="I174" s="12" t="s">
        <v>495</v>
      </c>
      <c r="J174" s="9" t="s">
        <v>797</v>
      </c>
      <c r="K174" s="9" t="s">
        <v>787</v>
      </c>
      <c r="L174" s="13">
        <v>88725</v>
      </c>
      <c r="M174" s="8">
        <v>67</v>
      </c>
      <c r="N174" s="8">
        <v>67</v>
      </c>
      <c r="O174" s="9" t="s">
        <v>734</v>
      </c>
      <c r="P174" s="9" t="s">
        <v>747</v>
      </c>
      <c r="Q174" s="6"/>
    </row>
    <row r="175" spans="1:17" ht="25.5" x14ac:dyDescent="0.25">
      <c r="A175" s="8">
        <v>146</v>
      </c>
      <c r="B175" s="8" t="s">
        <v>164</v>
      </c>
      <c r="C175" s="9" t="s">
        <v>798</v>
      </c>
      <c r="D175" s="9" t="s">
        <v>755</v>
      </c>
      <c r="E175" s="10">
        <v>42132</v>
      </c>
      <c r="F175" s="10">
        <v>42145</v>
      </c>
      <c r="G175" s="11">
        <f t="shared" si="2"/>
        <v>14</v>
      </c>
      <c r="H175" s="9" t="s">
        <v>793</v>
      </c>
      <c r="I175" s="12" t="s">
        <v>794</v>
      </c>
      <c r="J175" s="9" t="s">
        <v>799</v>
      </c>
      <c r="K175" s="9" t="s">
        <v>681</v>
      </c>
      <c r="L175" s="13">
        <v>390700</v>
      </c>
      <c r="M175" s="8">
        <v>110</v>
      </c>
      <c r="N175" s="8">
        <v>130</v>
      </c>
      <c r="O175" s="9" t="s">
        <v>796</v>
      </c>
      <c r="P175" s="9" t="s">
        <v>118</v>
      </c>
      <c r="Q175" s="6"/>
    </row>
    <row r="176" spans="1:17" ht="25.5" x14ac:dyDescent="0.25">
      <c r="A176" s="8">
        <v>145</v>
      </c>
      <c r="B176" s="8" t="s">
        <v>613</v>
      </c>
      <c r="C176" s="9" t="s">
        <v>800</v>
      </c>
      <c r="D176" s="9" t="s">
        <v>801</v>
      </c>
      <c r="E176" s="10">
        <v>42131</v>
      </c>
      <c r="F176" s="10">
        <v>42150</v>
      </c>
      <c r="G176" s="11">
        <f t="shared" si="2"/>
        <v>20</v>
      </c>
      <c r="H176" s="9" t="s">
        <v>802</v>
      </c>
      <c r="I176" s="12" t="s">
        <v>803</v>
      </c>
      <c r="J176" s="9" t="s">
        <v>804</v>
      </c>
      <c r="K176" s="9" t="s">
        <v>729</v>
      </c>
      <c r="L176" s="13">
        <v>984965</v>
      </c>
      <c r="M176" s="8">
        <v>110</v>
      </c>
      <c r="N176" s="8">
        <v>110</v>
      </c>
      <c r="O176" s="9" t="s">
        <v>47</v>
      </c>
      <c r="P176" s="9" t="s">
        <v>618</v>
      </c>
      <c r="Q176" s="6"/>
    </row>
    <row r="177" spans="1:17" ht="25.5" x14ac:dyDescent="0.25">
      <c r="A177" s="8">
        <v>144</v>
      </c>
      <c r="B177" s="8" t="s">
        <v>173</v>
      </c>
      <c r="C177" s="9" t="s">
        <v>743</v>
      </c>
      <c r="D177" s="9" t="s">
        <v>805</v>
      </c>
      <c r="E177" s="10">
        <v>42109</v>
      </c>
      <c r="F177" s="10">
        <v>42146</v>
      </c>
      <c r="G177" s="11">
        <f t="shared" si="2"/>
        <v>38</v>
      </c>
      <c r="H177" s="9" t="s">
        <v>806</v>
      </c>
      <c r="I177" s="12" t="s">
        <v>807</v>
      </c>
      <c r="J177" s="9" t="s">
        <v>808</v>
      </c>
      <c r="K177" s="9" t="s">
        <v>46</v>
      </c>
      <c r="L177" s="13">
        <v>461940</v>
      </c>
      <c r="M177" s="8">
        <v>110</v>
      </c>
      <c r="N177" s="8">
        <v>110</v>
      </c>
      <c r="O177" s="9" t="s">
        <v>809</v>
      </c>
      <c r="P177" s="9" t="s">
        <v>810</v>
      </c>
      <c r="Q177" s="6"/>
    </row>
    <row r="178" spans="1:17" ht="38.25" x14ac:dyDescent="0.25">
      <c r="A178" s="8">
        <v>143</v>
      </c>
      <c r="B178" s="8" t="s">
        <v>416</v>
      </c>
      <c r="C178" s="9" t="s">
        <v>811</v>
      </c>
      <c r="D178" s="9" t="s">
        <v>812</v>
      </c>
      <c r="E178" s="10">
        <v>42097</v>
      </c>
      <c r="F178" s="10">
        <v>42101</v>
      </c>
      <c r="G178" s="11">
        <f t="shared" si="2"/>
        <v>5</v>
      </c>
      <c r="H178" s="9" t="s">
        <v>813</v>
      </c>
      <c r="I178" s="12" t="s">
        <v>814</v>
      </c>
      <c r="J178" s="9" t="s">
        <v>815</v>
      </c>
      <c r="K178" s="9" t="s">
        <v>729</v>
      </c>
      <c r="L178" s="13">
        <v>681037</v>
      </c>
      <c r="M178" s="8">
        <v>90</v>
      </c>
      <c r="N178" s="8">
        <v>90</v>
      </c>
      <c r="O178" s="9" t="s">
        <v>47</v>
      </c>
      <c r="P178" s="9" t="s">
        <v>816</v>
      </c>
      <c r="Q178" s="6"/>
    </row>
    <row r="179" spans="1:17" ht="25.5" x14ac:dyDescent="0.25">
      <c r="A179" s="8">
        <v>142</v>
      </c>
      <c r="B179" s="8" t="s">
        <v>173</v>
      </c>
      <c r="C179" s="9" t="s">
        <v>743</v>
      </c>
      <c r="D179" s="9" t="s">
        <v>316</v>
      </c>
      <c r="E179" s="10">
        <v>42090</v>
      </c>
      <c r="F179" s="10">
        <v>42094</v>
      </c>
      <c r="G179" s="11">
        <f t="shared" si="2"/>
        <v>5</v>
      </c>
      <c r="H179" s="9" t="s">
        <v>494</v>
      </c>
      <c r="I179" s="12" t="s">
        <v>495</v>
      </c>
      <c r="J179" s="9" t="s">
        <v>817</v>
      </c>
      <c r="K179" s="9" t="s">
        <v>787</v>
      </c>
      <c r="L179" s="13">
        <v>53300</v>
      </c>
      <c r="M179" s="8">
        <v>67</v>
      </c>
      <c r="N179" s="8">
        <v>67</v>
      </c>
      <c r="O179" s="9" t="s">
        <v>791</v>
      </c>
      <c r="P179" s="9" t="s">
        <v>818</v>
      </c>
      <c r="Q179" s="6"/>
    </row>
    <row r="180" spans="1:17" ht="38.25" x14ac:dyDescent="0.25">
      <c r="A180" s="8">
        <v>141</v>
      </c>
      <c r="B180" s="8" t="s">
        <v>819</v>
      </c>
      <c r="C180" s="9" t="s">
        <v>820</v>
      </c>
      <c r="D180" s="9" t="s">
        <v>821</v>
      </c>
      <c r="E180" s="10">
        <v>42077</v>
      </c>
      <c r="F180" s="10">
        <v>42096</v>
      </c>
      <c r="G180" s="11">
        <f t="shared" si="2"/>
        <v>20</v>
      </c>
      <c r="H180" s="9" t="s">
        <v>822</v>
      </c>
      <c r="I180" s="12" t="s">
        <v>823</v>
      </c>
      <c r="J180" s="9" t="s">
        <v>824</v>
      </c>
      <c r="K180" s="9" t="s">
        <v>46</v>
      </c>
      <c r="L180" s="13">
        <v>246160</v>
      </c>
      <c r="M180" s="8">
        <v>110</v>
      </c>
      <c r="N180" s="8">
        <v>110</v>
      </c>
      <c r="O180" s="9" t="s">
        <v>47</v>
      </c>
      <c r="P180" s="9" t="s">
        <v>816</v>
      </c>
      <c r="Q180" s="6"/>
    </row>
    <row r="181" spans="1:17" ht="25.5" x14ac:dyDescent="0.25">
      <c r="A181" s="8">
        <v>140</v>
      </c>
      <c r="B181" s="8" t="s">
        <v>173</v>
      </c>
      <c r="C181" s="9" t="s">
        <v>743</v>
      </c>
      <c r="D181" s="9" t="s">
        <v>316</v>
      </c>
      <c r="E181" s="10">
        <v>42074</v>
      </c>
      <c r="F181" s="10">
        <v>42087</v>
      </c>
      <c r="G181" s="11">
        <f t="shared" si="2"/>
        <v>14</v>
      </c>
      <c r="H181" s="9" t="s">
        <v>494</v>
      </c>
      <c r="I181" s="12" t="s">
        <v>495</v>
      </c>
      <c r="J181" s="9" t="s">
        <v>825</v>
      </c>
      <c r="K181" s="9" t="s">
        <v>826</v>
      </c>
      <c r="L181" s="13">
        <v>92467</v>
      </c>
      <c r="M181" s="8">
        <v>60</v>
      </c>
      <c r="N181" s="8">
        <v>60</v>
      </c>
      <c r="O181" s="9" t="s">
        <v>734</v>
      </c>
      <c r="P181" s="9" t="s">
        <v>220</v>
      </c>
      <c r="Q181" s="6"/>
    </row>
    <row r="182" spans="1:17" ht="63.75" x14ac:dyDescent="0.25">
      <c r="A182" s="8">
        <v>139</v>
      </c>
      <c r="B182" s="8" t="s">
        <v>155</v>
      </c>
      <c r="C182" s="9" t="s">
        <v>827</v>
      </c>
      <c r="D182" s="9" t="s">
        <v>828</v>
      </c>
      <c r="E182" s="10">
        <v>42068</v>
      </c>
      <c r="F182" s="10">
        <v>42116</v>
      </c>
      <c r="G182" s="11">
        <f t="shared" si="2"/>
        <v>49</v>
      </c>
      <c r="H182" s="9" t="s">
        <v>829</v>
      </c>
      <c r="I182" s="12" t="s">
        <v>830</v>
      </c>
      <c r="J182" s="9" t="s">
        <v>831</v>
      </c>
      <c r="K182" s="9" t="s">
        <v>649</v>
      </c>
      <c r="L182" s="13">
        <v>2350240</v>
      </c>
      <c r="M182" s="8">
        <v>60</v>
      </c>
      <c r="N182" s="8">
        <v>60</v>
      </c>
      <c r="O182" s="9" t="s">
        <v>110</v>
      </c>
      <c r="P182" s="9" t="s">
        <v>639</v>
      </c>
      <c r="Q182" s="6"/>
    </row>
    <row r="183" spans="1:17" ht="25.5" x14ac:dyDescent="0.25">
      <c r="A183" s="8">
        <v>138</v>
      </c>
      <c r="B183" s="8" t="s">
        <v>173</v>
      </c>
      <c r="C183" s="9" t="s">
        <v>832</v>
      </c>
      <c r="D183" s="9" t="s">
        <v>316</v>
      </c>
      <c r="E183" s="10">
        <v>41976</v>
      </c>
      <c r="F183" s="10">
        <v>42059</v>
      </c>
      <c r="G183" s="11">
        <f t="shared" si="2"/>
        <v>84</v>
      </c>
      <c r="H183" s="9" t="s">
        <v>494</v>
      </c>
      <c r="I183" s="12" t="s">
        <v>495</v>
      </c>
      <c r="J183" s="9" t="s">
        <v>833</v>
      </c>
      <c r="K183" s="9" t="s">
        <v>834</v>
      </c>
      <c r="L183" s="13">
        <v>190000</v>
      </c>
      <c r="M183" s="8">
        <v>67</v>
      </c>
      <c r="N183" s="8">
        <v>67</v>
      </c>
      <c r="O183" s="9" t="s">
        <v>734</v>
      </c>
      <c r="P183" s="9" t="s">
        <v>818</v>
      </c>
      <c r="Q183" s="6"/>
    </row>
    <row r="184" spans="1:17" ht="25.5" x14ac:dyDescent="0.25">
      <c r="A184" s="8">
        <v>137</v>
      </c>
      <c r="B184" s="8" t="s">
        <v>835</v>
      </c>
      <c r="C184" s="9" t="s">
        <v>836</v>
      </c>
      <c r="D184" s="9" t="s">
        <v>316</v>
      </c>
      <c r="E184" s="10">
        <v>41886</v>
      </c>
      <c r="F184" s="10">
        <v>42106</v>
      </c>
      <c r="G184" s="11">
        <f t="shared" si="2"/>
        <v>221</v>
      </c>
      <c r="H184" s="9" t="s">
        <v>837</v>
      </c>
      <c r="I184" s="12" t="s">
        <v>838</v>
      </c>
      <c r="J184" s="9" t="s">
        <v>50</v>
      </c>
      <c r="K184" s="9" t="s">
        <v>839</v>
      </c>
      <c r="L184" s="13">
        <v>2180966</v>
      </c>
      <c r="M184" s="8">
        <v>320</v>
      </c>
      <c r="N184" s="8">
        <v>320</v>
      </c>
      <c r="O184" s="9" t="s">
        <v>840</v>
      </c>
      <c r="P184" s="9" t="s">
        <v>841</v>
      </c>
      <c r="Q184" s="6"/>
    </row>
    <row r="185" spans="1:17" ht="63.75" x14ac:dyDescent="0.25">
      <c r="A185" s="8">
        <v>136</v>
      </c>
      <c r="B185" s="8" t="s">
        <v>819</v>
      </c>
      <c r="C185" s="9" t="s">
        <v>842</v>
      </c>
      <c r="D185" s="9" t="s">
        <v>843</v>
      </c>
      <c r="E185" s="10">
        <v>41937</v>
      </c>
      <c r="F185" s="10">
        <v>41947</v>
      </c>
      <c r="G185" s="11">
        <f t="shared" si="2"/>
        <v>11</v>
      </c>
      <c r="H185" s="9" t="s">
        <v>822</v>
      </c>
      <c r="I185" s="12" t="s">
        <v>823</v>
      </c>
      <c r="J185" s="9" t="s">
        <v>844</v>
      </c>
      <c r="K185" s="9" t="s">
        <v>253</v>
      </c>
      <c r="L185" s="13">
        <v>153000</v>
      </c>
      <c r="M185" s="8">
        <v>110</v>
      </c>
      <c r="N185" s="8">
        <v>110</v>
      </c>
      <c r="O185" s="9" t="s">
        <v>47</v>
      </c>
      <c r="P185" s="9" t="s">
        <v>845</v>
      </c>
      <c r="Q185" s="6"/>
    </row>
    <row r="186" spans="1:17" ht="25.5" x14ac:dyDescent="0.25">
      <c r="A186" s="8">
        <v>135</v>
      </c>
      <c r="B186" s="8" t="s">
        <v>762</v>
      </c>
      <c r="C186" s="9" t="s">
        <v>846</v>
      </c>
      <c r="D186" s="9" t="s">
        <v>847</v>
      </c>
      <c r="E186" s="10">
        <v>41934</v>
      </c>
      <c r="F186" s="10">
        <v>41938</v>
      </c>
      <c r="G186" s="11">
        <f t="shared" si="2"/>
        <v>5</v>
      </c>
      <c r="H186" s="9" t="s">
        <v>848</v>
      </c>
      <c r="I186" s="12" t="s">
        <v>849</v>
      </c>
      <c r="J186" s="9" t="s">
        <v>850</v>
      </c>
      <c r="K186" s="9" t="s">
        <v>851</v>
      </c>
      <c r="L186" s="13">
        <v>73623</v>
      </c>
      <c r="M186" s="8">
        <v>45</v>
      </c>
      <c r="N186" s="8">
        <v>45</v>
      </c>
      <c r="O186" s="9" t="s">
        <v>110</v>
      </c>
      <c r="P186" s="9" t="s">
        <v>852</v>
      </c>
      <c r="Q186" s="6"/>
    </row>
    <row r="187" spans="1:17" ht="25.5" x14ac:dyDescent="0.25">
      <c r="A187" s="8">
        <v>134</v>
      </c>
      <c r="B187" s="8" t="s">
        <v>640</v>
      </c>
      <c r="C187" s="9" t="s">
        <v>853</v>
      </c>
      <c r="D187" s="9" t="s">
        <v>854</v>
      </c>
      <c r="E187" s="10">
        <v>41920</v>
      </c>
      <c r="F187" s="10">
        <v>41924</v>
      </c>
      <c r="G187" s="11">
        <f t="shared" si="2"/>
        <v>5</v>
      </c>
      <c r="H187" s="9" t="s">
        <v>855</v>
      </c>
      <c r="I187" s="12" t="s">
        <v>856</v>
      </c>
      <c r="J187" s="9" t="s">
        <v>857</v>
      </c>
      <c r="K187" s="9" t="s">
        <v>646</v>
      </c>
      <c r="L187" s="13">
        <v>386000</v>
      </c>
      <c r="M187" s="8">
        <v>85</v>
      </c>
      <c r="N187" s="8">
        <v>85</v>
      </c>
      <c r="O187" s="9" t="s">
        <v>110</v>
      </c>
      <c r="P187" s="9" t="s">
        <v>858</v>
      </c>
      <c r="Q187" s="6"/>
    </row>
    <row r="188" spans="1:17" ht="51" x14ac:dyDescent="0.25">
      <c r="A188" s="8">
        <v>133</v>
      </c>
      <c r="B188" s="8" t="s">
        <v>354</v>
      </c>
      <c r="C188" s="9" t="s">
        <v>859</v>
      </c>
      <c r="D188" s="9" t="s">
        <v>860</v>
      </c>
      <c r="E188" s="10">
        <v>41897</v>
      </c>
      <c r="F188" s="10">
        <v>41935</v>
      </c>
      <c r="G188" s="11">
        <f t="shared" si="2"/>
        <v>39</v>
      </c>
      <c r="H188" s="9" t="s">
        <v>861</v>
      </c>
      <c r="I188" s="12" t="s">
        <v>862</v>
      </c>
      <c r="J188" s="9" t="s">
        <v>863</v>
      </c>
      <c r="K188" s="9" t="s">
        <v>672</v>
      </c>
      <c r="L188" s="13">
        <v>2895308.17</v>
      </c>
      <c r="M188" s="8">
        <v>115</v>
      </c>
      <c r="N188" s="8">
        <v>115</v>
      </c>
      <c r="O188" s="9" t="s">
        <v>47</v>
      </c>
      <c r="P188" s="9" t="s">
        <v>673</v>
      </c>
      <c r="Q188" s="6"/>
    </row>
    <row r="189" spans="1:17" ht="25.5" x14ac:dyDescent="0.25">
      <c r="A189" s="8">
        <v>132</v>
      </c>
      <c r="B189" s="8" t="s">
        <v>864</v>
      </c>
      <c r="C189" s="9" t="s">
        <v>865</v>
      </c>
      <c r="D189" s="9" t="s">
        <v>866</v>
      </c>
      <c r="E189" s="10">
        <v>41890</v>
      </c>
      <c r="F189" s="10">
        <v>41897</v>
      </c>
      <c r="G189" s="11">
        <f t="shared" si="2"/>
        <v>8</v>
      </c>
      <c r="H189" s="9" t="s">
        <v>822</v>
      </c>
      <c r="I189" s="12" t="s">
        <v>823</v>
      </c>
      <c r="J189" s="9" t="s">
        <v>867</v>
      </c>
      <c r="K189" s="9" t="s">
        <v>92</v>
      </c>
      <c r="L189" s="13">
        <v>107365</v>
      </c>
      <c r="M189" s="8">
        <v>50</v>
      </c>
      <c r="N189" s="8">
        <v>60</v>
      </c>
      <c r="O189" s="9" t="s">
        <v>47</v>
      </c>
      <c r="P189" s="9" t="s">
        <v>868</v>
      </c>
      <c r="Q189" s="6"/>
    </row>
    <row r="190" spans="1:17" ht="25.5" x14ac:dyDescent="0.25">
      <c r="A190" s="8">
        <v>131</v>
      </c>
      <c r="B190" s="8" t="s">
        <v>660</v>
      </c>
      <c r="C190" s="9" t="s">
        <v>869</v>
      </c>
      <c r="D190" s="9" t="s">
        <v>601</v>
      </c>
      <c r="E190" s="10">
        <v>41884</v>
      </c>
      <c r="F190" s="10">
        <v>41890</v>
      </c>
      <c r="G190" s="11">
        <f t="shared" si="2"/>
        <v>7</v>
      </c>
      <c r="H190" s="9" t="s">
        <v>870</v>
      </c>
      <c r="I190" s="12" t="s">
        <v>871</v>
      </c>
      <c r="J190" s="9" t="s">
        <v>872</v>
      </c>
      <c r="K190" s="9" t="s">
        <v>873</v>
      </c>
      <c r="L190" s="13">
        <v>760213</v>
      </c>
      <c r="M190" s="8">
        <v>56</v>
      </c>
      <c r="N190" s="8">
        <v>56</v>
      </c>
      <c r="O190" s="9" t="s">
        <v>47</v>
      </c>
      <c r="P190" s="9" t="s">
        <v>874</v>
      </c>
      <c r="Q190" s="6"/>
    </row>
    <row r="191" spans="1:17" ht="25.5" x14ac:dyDescent="0.25">
      <c r="A191" s="8">
        <v>130</v>
      </c>
      <c r="B191" s="8" t="s">
        <v>875</v>
      </c>
      <c r="C191" s="9" t="s">
        <v>876</v>
      </c>
      <c r="D191" s="9" t="s">
        <v>316</v>
      </c>
      <c r="E191" s="10">
        <v>41884</v>
      </c>
      <c r="F191" s="10">
        <v>41919</v>
      </c>
      <c r="G191" s="11">
        <f t="shared" si="2"/>
        <v>36</v>
      </c>
      <c r="H191" s="9" t="s">
        <v>877</v>
      </c>
      <c r="I191" s="12" t="s">
        <v>878</v>
      </c>
      <c r="J191" s="9" t="s">
        <v>879</v>
      </c>
      <c r="K191" s="9" t="s">
        <v>880</v>
      </c>
      <c r="L191" s="13">
        <v>385704</v>
      </c>
      <c r="M191" s="8">
        <v>113</v>
      </c>
      <c r="N191" s="8">
        <v>113</v>
      </c>
      <c r="O191" s="9" t="s">
        <v>881</v>
      </c>
      <c r="P191" s="9" t="s">
        <v>882</v>
      </c>
      <c r="Q191" s="6"/>
    </row>
    <row r="192" spans="1:17" ht="38.25" x14ac:dyDescent="0.25">
      <c r="A192" s="8">
        <v>129</v>
      </c>
      <c r="B192" s="8" t="s">
        <v>762</v>
      </c>
      <c r="C192" s="9" t="s">
        <v>883</v>
      </c>
      <c r="D192" s="9" t="s">
        <v>884</v>
      </c>
      <c r="E192" s="10">
        <v>41863</v>
      </c>
      <c r="F192" s="10">
        <v>41906</v>
      </c>
      <c r="G192" s="11">
        <f t="shared" si="2"/>
        <v>44</v>
      </c>
      <c r="H192" s="9" t="s">
        <v>848</v>
      </c>
      <c r="I192" s="12" t="s">
        <v>849</v>
      </c>
      <c r="J192" s="9" t="s">
        <v>885</v>
      </c>
      <c r="K192" s="9" t="s">
        <v>851</v>
      </c>
      <c r="L192" s="13">
        <v>446070</v>
      </c>
      <c r="M192" s="8">
        <v>50</v>
      </c>
      <c r="N192" s="8">
        <v>50</v>
      </c>
      <c r="O192" s="9" t="s">
        <v>626</v>
      </c>
      <c r="P192" s="9" t="s">
        <v>886</v>
      </c>
      <c r="Q192" s="6"/>
    </row>
    <row r="193" spans="1:17" ht="51" x14ac:dyDescent="0.25">
      <c r="A193" s="8">
        <v>128</v>
      </c>
      <c r="B193" s="8" t="s">
        <v>819</v>
      </c>
      <c r="C193" s="9" t="s">
        <v>887</v>
      </c>
      <c r="D193" s="9" t="s">
        <v>888</v>
      </c>
      <c r="E193" s="10">
        <v>41865</v>
      </c>
      <c r="F193" s="10">
        <v>41883</v>
      </c>
      <c r="G193" s="11">
        <f t="shared" si="2"/>
        <v>19</v>
      </c>
      <c r="H193" s="9" t="s">
        <v>822</v>
      </c>
      <c r="I193" s="12" t="s">
        <v>823</v>
      </c>
      <c r="J193" s="9" t="s">
        <v>889</v>
      </c>
      <c r="K193" s="9" t="s">
        <v>253</v>
      </c>
      <c r="L193" s="13">
        <v>227916</v>
      </c>
      <c r="M193" s="8">
        <v>110</v>
      </c>
      <c r="N193" s="8">
        <v>110</v>
      </c>
      <c r="O193" s="9" t="s">
        <v>47</v>
      </c>
      <c r="P193" s="9" t="s">
        <v>890</v>
      </c>
      <c r="Q193" s="6"/>
    </row>
    <row r="194" spans="1:17" ht="38.25" x14ac:dyDescent="0.25">
      <c r="A194" s="8">
        <v>127</v>
      </c>
      <c r="B194" s="8" t="s">
        <v>762</v>
      </c>
      <c r="C194" s="9" t="s">
        <v>891</v>
      </c>
      <c r="D194" s="9" t="s">
        <v>892</v>
      </c>
      <c r="E194" s="10">
        <v>41862</v>
      </c>
      <c r="F194" s="10">
        <v>41872</v>
      </c>
      <c r="G194" s="11">
        <f t="shared" ref="G194:G257" si="3">IF(AND(ISNUMBER(E194),ISNUMBER(F194)),F194-E194+1,"")</f>
        <v>11</v>
      </c>
      <c r="H194" s="9" t="s">
        <v>870</v>
      </c>
      <c r="I194" s="12" t="s">
        <v>871</v>
      </c>
      <c r="J194" s="9" t="s">
        <v>893</v>
      </c>
      <c r="K194" s="9" t="s">
        <v>851</v>
      </c>
      <c r="L194" s="13">
        <v>109847</v>
      </c>
      <c r="M194" s="8">
        <v>50</v>
      </c>
      <c r="N194" s="8">
        <v>50</v>
      </c>
      <c r="O194" s="9" t="s">
        <v>107</v>
      </c>
      <c r="P194" s="9" t="s">
        <v>894</v>
      </c>
      <c r="Q194" s="6"/>
    </row>
    <row r="195" spans="1:17" ht="25.5" x14ac:dyDescent="0.25">
      <c r="A195" s="8">
        <v>126</v>
      </c>
      <c r="B195" s="8" t="s">
        <v>895</v>
      </c>
      <c r="C195" s="9" t="s">
        <v>896</v>
      </c>
      <c r="D195" s="9" t="s">
        <v>897</v>
      </c>
      <c r="E195" s="10">
        <v>41844</v>
      </c>
      <c r="F195" s="10">
        <v>41859</v>
      </c>
      <c r="G195" s="11">
        <f t="shared" si="3"/>
        <v>16</v>
      </c>
      <c r="H195" s="9" t="s">
        <v>333</v>
      </c>
      <c r="I195" s="12" t="s">
        <v>334</v>
      </c>
      <c r="J195" s="9" t="s">
        <v>898</v>
      </c>
      <c r="K195" s="9" t="s">
        <v>851</v>
      </c>
      <c r="L195" s="13">
        <v>156871</v>
      </c>
      <c r="M195" s="8">
        <v>50</v>
      </c>
      <c r="N195" s="8">
        <v>50</v>
      </c>
      <c r="O195" s="9" t="s">
        <v>47</v>
      </c>
      <c r="P195" s="9" t="s">
        <v>845</v>
      </c>
      <c r="Q195" s="6"/>
    </row>
    <row r="196" spans="1:17" ht="25.5" x14ac:dyDescent="0.25">
      <c r="A196" s="8">
        <v>125</v>
      </c>
      <c r="B196" s="8" t="s">
        <v>899</v>
      </c>
      <c r="C196" s="9" t="s">
        <v>900</v>
      </c>
      <c r="D196" s="9" t="s">
        <v>316</v>
      </c>
      <c r="E196" s="10">
        <v>41838</v>
      </c>
      <c r="F196" s="10">
        <v>41982</v>
      </c>
      <c r="G196" s="11">
        <f t="shared" si="3"/>
        <v>145</v>
      </c>
      <c r="H196" s="9" t="s">
        <v>607</v>
      </c>
      <c r="I196" s="12" t="s">
        <v>608</v>
      </c>
      <c r="J196" s="9" t="s">
        <v>901</v>
      </c>
      <c r="K196" s="9" t="s">
        <v>610</v>
      </c>
      <c r="L196" s="13">
        <v>1260870</v>
      </c>
      <c r="M196" s="8">
        <v>825</v>
      </c>
      <c r="N196" s="8">
        <v>825</v>
      </c>
      <c r="O196" s="9" t="s">
        <v>902</v>
      </c>
      <c r="P196" s="9" t="s">
        <v>903</v>
      </c>
      <c r="Q196" s="6"/>
    </row>
    <row r="197" spans="1:17" ht="25.5" x14ac:dyDescent="0.25">
      <c r="A197" s="8">
        <v>124</v>
      </c>
      <c r="B197" s="8" t="s">
        <v>904</v>
      </c>
      <c r="C197" s="9" t="s">
        <v>905</v>
      </c>
      <c r="D197" s="9" t="s">
        <v>316</v>
      </c>
      <c r="E197" s="10">
        <v>41786</v>
      </c>
      <c r="F197" s="10">
        <v>41830</v>
      </c>
      <c r="G197" s="11">
        <f t="shared" si="3"/>
        <v>45</v>
      </c>
      <c r="H197" s="9" t="s">
        <v>906</v>
      </c>
      <c r="I197" s="12" t="s">
        <v>907</v>
      </c>
      <c r="J197" s="9" t="s">
        <v>908</v>
      </c>
      <c r="K197" s="9" t="s">
        <v>436</v>
      </c>
      <c r="L197" s="13">
        <v>203220</v>
      </c>
      <c r="M197" s="8">
        <v>58</v>
      </c>
      <c r="N197" s="8">
        <v>60</v>
      </c>
      <c r="O197" s="9" t="s">
        <v>626</v>
      </c>
      <c r="P197" s="9" t="s">
        <v>451</v>
      </c>
      <c r="Q197" s="6"/>
    </row>
    <row r="198" spans="1:17" ht="25.5" x14ac:dyDescent="0.25">
      <c r="A198" s="8">
        <v>123</v>
      </c>
      <c r="B198" s="8" t="s">
        <v>904</v>
      </c>
      <c r="C198" s="9" t="s">
        <v>909</v>
      </c>
      <c r="D198" s="9" t="s">
        <v>910</v>
      </c>
      <c r="E198" s="10">
        <v>41799</v>
      </c>
      <c r="F198" s="10">
        <v>41801</v>
      </c>
      <c r="G198" s="11">
        <f t="shared" si="3"/>
        <v>3</v>
      </c>
      <c r="H198" s="9"/>
      <c r="I198" s="12" t="s">
        <v>911</v>
      </c>
      <c r="J198" s="9" t="s">
        <v>912</v>
      </c>
      <c r="K198" s="9" t="s">
        <v>913</v>
      </c>
      <c r="L198" s="13">
        <v>56524</v>
      </c>
      <c r="M198" s="8">
        <v>60</v>
      </c>
      <c r="N198" s="8">
        <v>60</v>
      </c>
      <c r="O198" s="9" t="s">
        <v>796</v>
      </c>
      <c r="P198" s="9" t="s">
        <v>118</v>
      </c>
      <c r="Q198" s="6"/>
    </row>
    <row r="199" spans="1:17" ht="38.25" x14ac:dyDescent="0.25">
      <c r="A199" s="8">
        <v>122</v>
      </c>
      <c r="B199" s="8" t="s">
        <v>164</v>
      </c>
      <c r="C199" s="9" t="s">
        <v>914</v>
      </c>
      <c r="D199" s="9" t="s">
        <v>677</v>
      </c>
      <c r="E199" s="10">
        <v>41785</v>
      </c>
      <c r="F199" s="10">
        <v>41801</v>
      </c>
      <c r="G199" s="11">
        <f t="shared" si="3"/>
        <v>17</v>
      </c>
      <c r="H199" s="9" t="s">
        <v>915</v>
      </c>
      <c r="I199" s="12" t="s">
        <v>916</v>
      </c>
      <c r="J199" s="9" t="s">
        <v>917</v>
      </c>
      <c r="K199" s="9" t="s">
        <v>78</v>
      </c>
      <c r="L199" s="13">
        <v>633610.36</v>
      </c>
      <c r="M199" s="8">
        <v>130</v>
      </c>
      <c r="N199" s="8">
        <v>130</v>
      </c>
      <c r="O199" s="9" t="s">
        <v>796</v>
      </c>
      <c r="P199" s="9" t="s">
        <v>118</v>
      </c>
      <c r="Q199" s="6"/>
    </row>
    <row r="200" spans="1:17" ht="25.5" x14ac:dyDescent="0.25">
      <c r="A200" s="8">
        <v>121</v>
      </c>
      <c r="B200" s="8" t="s">
        <v>155</v>
      </c>
      <c r="C200" s="9" t="s">
        <v>918</v>
      </c>
      <c r="D200" s="9" t="s">
        <v>316</v>
      </c>
      <c r="E200" s="10">
        <v>41774</v>
      </c>
      <c r="F200" s="10">
        <v>41790</v>
      </c>
      <c r="G200" s="11">
        <f t="shared" si="3"/>
        <v>17</v>
      </c>
      <c r="H200" s="9" t="s">
        <v>317</v>
      </c>
      <c r="I200" s="12" t="s">
        <v>318</v>
      </c>
      <c r="J200" s="9" t="s">
        <v>919</v>
      </c>
      <c r="K200" s="9" t="s">
        <v>161</v>
      </c>
      <c r="L200" s="13">
        <v>135110.07999999999</v>
      </c>
      <c r="M200" s="8">
        <v>60</v>
      </c>
      <c r="N200" s="8">
        <v>60</v>
      </c>
      <c r="O200" s="9" t="s">
        <v>110</v>
      </c>
      <c r="P200" s="9" t="s">
        <v>920</v>
      </c>
      <c r="Q200" s="6"/>
    </row>
    <row r="201" spans="1:17" ht="38.25" x14ac:dyDescent="0.25">
      <c r="A201" s="8">
        <v>120</v>
      </c>
      <c r="B201" s="8" t="s">
        <v>164</v>
      </c>
      <c r="C201" s="9" t="s">
        <v>921</v>
      </c>
      <c r="D201" s="9" t="s">
        <v>922</v>
      </c>
      <c r="E201" s="10">
        <v>41764</v>
      </c>
      <c r="F201" s="10">
        <v>41785</v>
      </c>
      <c r="G201" s="11">
        <f t="shared" si="3"/>
        <v>22</v>
      </c>
      <c r="H201" s="9" t="s">
        <v>915</v>
      </c>
      <c r="I201" s="12" t="s">
        <v>916</v>
      </c>
      <c r="J201" s="9" t="s">
        <v>923</v>
      </c>
      <c r="K201" s="9" t="s">
        <v>78</v>
      </c>
      <c r="L201" s="13">
        <v>568788</v>
      </c>
      <c r="M201" s="8">
        <v>116</v>
      </c>
      <c r="N201" s="8">
        <v>116</v>
      </c>
      <c r="O201" s="9" t="s">
        <v>110</v>
      </c>
      <c r="P201" s="9" t="s">
        <v>118</v>
      </c>
      <c r="Q201" s="6"/>
    </row>
    <row r="202" spans="1:17" ht="25.5" x14ac:dyDescent="0.25">
      <c r="A202" s="8">
        <v>119</v>
      </c>
      <c r="B202" s="8" t="s">
        <v>173</v>
      </c>
      <c r="C202" s="9" t="s">
        <v>924</v>
      </c>
      <c r="D202" s="9" t="s">
        <v>316</v>
      </c>
      <c r="E202" s="10">
        <v>41754</v>
      </c>
      <c r="F202" s="10">
        <v>42122</v>
      </c>
      <c r="G202" s="11">
        <f t="shared" si="3"/>
        <v>369</v>
      </c>
      <c r="H202" s="9" t="s">
        <v>494</v>
      </c>
      <c r="I202" s="12" t="s">
        <v>495</v>
      </c>
      <c r="J202" s="9" t="s">
        <v>50</v>
      </c>
      <c r="K202" s="9" t="s">
        <v>253</v>
      </c>
      <c r="L202" s="13">
        <v>3702246</v>
      </c>
      <c r="M202" s="8">
        <v>110</v>
      </c>
      <c r="N202" s="8">
        <v>110</v>
      </c>
      <c r="O202" s="9" t="s">
        <v>925</v>
      </c>
      <c r="P202" s="9" t="s">
        <v>926</v>
      </c>
      <c r="Q202" s="6"/>
    </row>
    <row r="203" spans="1:17" ht="25.5" x14ac:dyDescent="0.25">
      <c r="A203" s="8">
        <v>118</v>
      </c>
      <c r="B203" s="8" t="s">
        <v>173</v>
      </c>
      <c r="C203" s="9" t="s">
        <v>832</v>
      </c>
      <c r="D203" s="9" t="s">
        <v>316</v>
      </c>
      <c r="E203" s="10">
        <v>41737</v>
      </c>
      <c r="F203" s="10">
        <v>41906</v>
      </c>
      <c r="G203" s="11">
        <f t="shared" si="3"/>
        <v>170</v>
      </c>
      <c r="H203" s="9" t="s">
        <v>494</v>
      </c>
      <c r="I203" s="12" t="s">
        <v>495</v>
      </c>
      <c r="J203" s="9" t="s">
        <v>927</v>
      </c>
      <c r="K203" s="9" t="s">
        <v>928</v>
      </c>
      <c r="L203" s="13">
        <v>164235</v>
      </c>
      <c r="M203" s="8">
        <v>68</v>
      </c>
      <c r="N203" s="8">
        <v>68</v>
      </c>
      <c r="O203" s="9" t="s">
        <v>791</v>
      </c>
      <c r="P203" s="9" t="s">
        <v>929</v>
      </c>
      <c r="Q203" s="6"/>
    </row>
    <row r="204" spans="1:17" ht="25.5" x14ac:dyDescent="0.25">
      <c r="A204" s="8">
        <v>117</v>
      </c>
      <c r="B204" s="8" t="s">
        <v>660</v>
      </c>
      <c r="C204" s="9" t="s">
        <v>846</v>
      </c>
      <c r="D204" s="9" t="s">
        <v>316</v>
      </c>
      <c r="E204" s="10">
        <v>41736</v>
      </c>
      <c r="F204" s="10">
        <v>41754</v>
      </c>
      <c r="G204" s="11">
        <f t="shared" si="3"/>
        <v>19</v>
      </c>
      <c r="H204" s="9" t="s">
        <v>930</v>
      </c>
      <c r="I204" s="12" t="s">
        <v>931</v>
      </c>
      <c r="J204" s="9" t="s">
        <v>932</v>
      </c>
      <c r="K204" s="9" t="s">
        <v>873</v>
      </c>
      <c r="L204" s="13">
        <v>119526</v>
      </c>
      <c r="M204" s="8">
        <v>57</v>
      </c>
      <c r="N204" s="8">
        <v>57</v>
      </c>
      <c r="O204" s="9" t="s">
        <v>110</v>
      </c>
      <c r="P204" s="9" t="s">
        <v>886</v>
      </c>
      <c r="Q204" s="6"/>
    </row>
    <row r="205" spans="1:17" ht="38.25" x14ac:dyDescent="0.25">
      <c r="A205" s="8">
        <v>116</v>
      </c>
      <c r="B205" s="8" t="s">
        <v>933</v>
      </c>
      <c r="C205" s="9" t="s">
        <v>934</v>
      </c>
      <c r="D205" s="9" t="s">
        <v>935</v>
      </c>
      <c r="E205" s="10">
        <v>41727</v>
      </c>
      <c r="F205" s="10">
        <v>41734</v>
      </c>
      <c r="G205" s="11">
        <f t="shared" si="3"/>
        <v>8</v>
      </c>
      <c r="H205" s="9" t="s">
        <v>333</v>
      </c>
      <c r="I205" s="12" t="s">
        <v>334</v>
      </c>
      <c r="J205" s="9" t="s">
        <v>936</v>
      </c>
      <c r="K205" s="9" t="s">
        <v>672</v>
      </c>
      <c r="L205" s="13">
        <v>133061</v>
      </c>
      <c r="M205" s="8">
        <v>115</v>
      </c>
      <c r="N205" s="8">
        <v>115</v>
      </c>
      <c r="O205" s="9" t="s">
        <v>110</v>
      </c>
      <c r="P205" s="9" t="s">
        <v>937</v>
      </c>
      <c r="Q205" s="6"/>
    </row>
    <row r="206" spans="1:17" ht="25.5" x14ac:dyDescent="0.25">
      <c r="A206" s="8">
        <v>115</v>
      </c>
      <c r="B206" s="8" t="s">
        <v>25</v>
      </c>
      <c r="C206" s="9" t="s">
        <v>938</v>
      </c>
      <c r="D206" s="9" t="s">
        <v>939</v>
      </c>
      <c r="E206" s="10">
        <v>41755</v>
      </c>
      <c r="F206" s="10">
        <v>41785</v>
      </c>
      <c r="G206" s="11">
        <f t="shared" si="3"/>
        <v>31</v>
      </c>
      <c r="H206" s="9" t="s">
        <v>529</v>
      </c>
      <c r="I206" s="12" t="s">
        <v>530</v>
      </c>
      <c r="J206" s="9" t="s">
        <v>940</v>
      </c>
      <c r="K206" s="9" t="s">
        <v>941</v>
      </c>
      <c r="L206" s="13">
        <v>3849886.44</v>
      </c>
      <c r="M206" s="8">
        <v>50</v>
      </c>
      <c r="N206" s="8">
        <v>60</v>
      </c>
      <c r="O206" s="9" t="s">
        <v>47</v>
      </c>
      <c r="P206" s="9" t="s">
        <v>63</v>
      </c>
      <c r="Q206" s="6"/>
    </row>
    <row r="207" spans="1:17" ht="38.25" x14ac:dyDescent="0.25">
      <c r="A207" s="8">
        <v>114</v>
      </c>
      <c r="B207" s="8" t="s">
        <v>155</v>
      </c>
      <c r="C207" s="9" t="s">
        <v>942</v>
      </c>
      <c r="D207" s="9" t="s">
        <v>316</v>
      </c>
      <c r="E207" s="10">
        <v>41728</v>
      </c>
      <c r="F207" s="10">
        <v>41738</v>
      </c>
      <c r="G207" s="11">
        <f t="shared" si="3"/>
        <v>11</v>
      </c>
      <c r="H207" s="9" t="s">
        <v>317</v>
      </c>
      <c r="I207" s="12" t="s">
        <v>318</v>
      </c>
      <c r="J207" s="9" t="s">
        <v>943</v>
      </c>
      <c r="K207" s="9" t="s">
        <v>161</v>
      </c>
      <c r="L207" s="13">
        <v>99323.6</v>
      </c>
      <c r="M207" s="8">
        <v>57</v>
      </c>
      <c r="N207" s="8">
        <v>57</v>
      </c>
      <c r="O207" s="9" t="s">
        <v>107</v>
      </c>
      <c r="P207" s="9" t="s">
        <v>944</v>
      </c>
      <c r="Q207" s="6"/>
    </row>
    <row r="208" spans="1:17" ht="25.5" x14ac:dyDescent="0.25">
      <c r="A208" s="8">
        <v>113</v>
      </c>
      <c r="B208" s="8" t="s">
        <v>25</v>
      </c>
      <c r="C208" s="9" t="s">
        <v>945</v>
      </c>
      <c r="D208" s="9" t="s">
        <v>946</v>
      </c>
      <c r="E208" s="10">
        <v>41718</v>
      </c>
      <c r="F208" s="10">
        <v>41755</v>
      </c>
      <c r="G208" s="11">
        <f t="shared" si="3"/>
        <v>38</v>
      </c>
      <c r="H208" s="9" t="s">
        <v>529</v>
      </c>
      <c r="I208" s="12" t="s">
        <v>530</v>
      </c>
      <c r="J208" s="9" t="s">
        <v>947</v>
      </c>
      <c r="K208" s="9" t="s">
        <v>948</v>
      </c>
      <c r="L208" s="13">
        <v>4439914.59</v>
      </c>
      <c r="M208" s="8">
        <v>60</v>
      </c>
      <c r="N208" s="8">
        <v>60</v>
      </c>
      <c r="O208" s="9" t="s">
        <v>47</v>
      </c>
      <c r="P208" s="9" t="s">
        <v>63</v>
      </c>
      <c r="Q208" s="6"/>
    </row>
    <row r="209" spans="1:17" ht="25.5" x14ac:dyDescent="0.25">
      <c r="A209" s="8">
        <v>112</v>
      </c>
      <c r="B209" s="8" t="s">
        <v>949</v>
      </c>
      <c r="C209" s="9" t="s">
        <v>950</v>
      </c>
      <c r="D209" s="9" t="s">
        <v>951</v>
      </c>
      <c r="E209" s="10">
        <v>41717</v>
      </c>
      <c r="F209" s="10">
        <v>41732</v>
      </c>
      <c r="G209" s="11">
        <f t="shared" si="3"/>
        <v>16</v>
      </c>
      <c r="H209" s="9" t="s">
        <v>952</v>
      </c>
      <c r="I209" s="12" t="s">
        <v>953</v>
      </c>
      <c r="J209" s="9" t="s">
        <v>954</v>
      </c>
      <c r="K209" s="9" t="s">
        <v>955</v>
      </c>
      <c r="L209" s="13">
        <v>215694</v>
      </c>
      <c r="M209" s="8">
        <v>50</v>
      </c>
      <c r="N209" s="8">
        <v>60</v>
      </c>
      <c r="O209" s="9" t="s">
        <v>796</v>
      </c>
      <c r="P209" s="9" t="s">
        <v>956</v>
      </c>
      <c r="Q209" s="6"/>
    </row>
    <row r="210" spans="1:17" ht="38.25" x14ac:dyDescent="0.25">
      <c r="A210" s="8">
        <v>111</v>
      </c>
      <c r="B210" s="8" t="s">
        <v>79</v>
      </c>
      <c r="C210" s="9" t="s">
        <v>957</v>
      </c>
      <c r="D210" s="9" t="s">
        <v>316</v>
      </c>
      <c r="E210" s="10">
        <v>41646</v>
      </c>
      <c r="F210" s="10">
        <v>41884</v>
      </c>
      <c r="G210" s="11">
        <f t="shared" si="3"/>
        <v>239</v>
      </c>
      <c r="H210" s="9" t="s">
        <v>713</v>
      </c>
      <c r="I210" s="12" t="s">
        <v>206</v>
      </c>
      <c r="J210" s="9" t="s">
        <v>958</v>
      </c>
      <c r="K210" s="9" t="s">
        <v>959</v>
      </c>
      <c r="L210" s="13">
        <v>1860581</v>
      </c>
      <c r="M210" s="8">
        <v>113</v>
      </c>
      <c r="N210" s="8">
        <v>113</v>
      </c>
      <c r="O210" s="9" t="s">
        <v>881</v>
      </c>
      <c r="P210" s="9" t="s">
        <v>882</v>
      </c>
      <c r="Q210" s="6"/>
    </row>
    <row r="211" spans="1:17" ht="25.5" x14ac:dyDescent="0.25">
      <c r="A211" s="8">
        <v>110</v>
      </c>
      <c r="B211" s="8" t="s">
        <v>173</v>
      </c>
      <c r="C211" s="9" t="s">
        <v>960</v>
      </c>
      <c r="D211" s="9" t="s">
        <v>961</v>
      </c>
      <c r="E211" s="10">
        <v>41598</v>
      </c>
      <c r="F211" s="10">
        <v>41603</v>
      </c>
      <c r="G211" s="11">
        <f t="shared" si="3"/>
        <v>6</v>
      </c>
      <c r="H211" s="9" t="s">
        <v>962</v>
      </c>
      <c r="I211" s="12" t="s">
        <v>963</v>
      </c>
      <c r="J211" s="9" t="s">
        <v>964</v>
      </c>
      <c r="K211" s="9" t="s">
        <v>253</v>
      </c>
      <c r="L211" s="13">
        <v>184057</v>
      </c>
      <c r="M211" s="8">
        <v>110</v>
      </c>
      <c r="N211" s="8">
        <v>110</v>
      </c>
      <c r="O211" s="9" t="s">
        <v>47</v>
      </c>
      <c r="P211" s="9" t="s">
        <v>191</v>
      </c>
      <c r="Q211" s="6"/>
    </row>
    <row r="212" spans="1:17" x14ac:dyDescent="0.25">
      <c r="A212" s="8">
        <v>109</v>
      </c>
      <c r="B212" s="8" t="s">
        <v>965</v>
      </c>
      <c r="C212" s="9" t="s">
        <v>966</v>
      </c>
      <c r="D212" s="9" t="s">
        <v>967</v>
      </c>
      <c r="E212" s="10">
        <v>41552</v>
      </c>
      <c r="F212" s="10">
        <v>41563</v>
      </c>
      <c r="G212" s="11">
        <f t="shared" si="3"/>
        <v>12</v>
      </c>
      <c r="H212" s="9" t="s">
        <v>333</v>
      </c>
      <c r="I212" s="12" t="s">
        <v>334</v>
      </c>
      <c r="J212" s="9" t="s">
        <v>968</v>
      </c>
      <c r="K212" s="9" t="s">
        <v>969</v>
      </c>
      <c r="L212" s="13">
        <v>110720</v>
      </c>
      <c r="M212" s="8">
        <v>53</v>
      </c>
      <c r="N212" s="8">
        <v>53</v>
      </c>
      <c r="O212" s="9" t="s">
        <v>738</v>
      </c>
      <c r="P212" s="9" t="s">
        <v>970</v>
      </c>
      <c r="Q212" s="6"/>
    </row>
    <row r="213" spans="1:17" ht="25.5" x14ac:dyDescent="0.25">
      <c r="A213" s="8">
        <v>108</v>
      </c>
      <c r="B213" s="8" t="s">
        <v>361</v>
      </c>
      <c r="C213" s="9" t="s">
        <v>971</v>
      </c>
      <c r="D213" s="9" t="s">
        <v>316</v>
      </c>
      <c r="E213" s="10">
        <v>41544</v>
      </c>
      <c r="F213" s="10">
        <v>41646</v>
      </c>
      <c r="G213" s="11">
        <f t="shared" si="3"/>
        <v>103</v>
      </c>
      <c r="H213" s="9" t="s">
        <v>972</v>
      </c>
      <c r="I213" s="12" t="s">
        <v>973</v>
      </c>
      <c r="J213" s="9" t="s">
        <v>974</v>
      </c>
      <c r="K213" s="9" t="s">
        <v>975</v>
      </c>
      <c r="L213" s="13">
        <v>1031041</v>
      </c>
      <c r="M213" s="8">
        <v>274</v>
      </c>
      <c r="N213" s="8">
        <v>274</v>
      </c>
      <c r="O213" s="9" t="s">
        <v>881</v>
      </c>
      <c r="P213" s="9" t="s">
        <v>882</v>
      </c>
      <c r="Q213" s="6"/>
    </row>
    <row r="214" spans="1:17" ht="38.25" x14ac:dyDescent="0.25">
      <c r="A214" s="8">
        <v>107</v>
      </c>
      <c r="B214" s="8" t="s">
        <v>762</v>
      </c>
      <c r="C214" s="9" t="s">
        <v>976</v>
      </c>
      <c r="D214" s="9" t="s">
        <v>922</v>
      </c>
      <c r="E214" s="10">
        <v>41547</v>
      </c>
      <c r="F214" s="10">
        <v>41556</v>
      </c>
      <c r="G214" s="11">
        <f t="shared" si="3"/>
        <v>10</v>
      </c>
      <c r="H214" s="9" t="s">
        <v>870</v>
      </c>
      <c r="I214" s="12" t="s">
        <v>871</v>
      </c>
      <c r="J214" s="9" t="s">
        <v>977</v>
      </c>
      <c r="K214" s="9" t="s">
        <v>851</v>
      </c>
      <c r="L214" s="13">
        <v>994000</v>
      </c>
      <c r="M214" s="8">
        <v>54</v>
      </c>
      <c r="N214" s="8">
        <v>54</v>
      </c>
      <c r="O214" s="9" t="s">
        <v>47</v>
      </c>
      <c r="P214" s="9" t="s">
        <v>63</v>
      </c>
      <c r="Q214" s="6"/>
    </row>
    <row r="215" spans="1:17" ht="25.5" x14ac:dyDescent="0.25">
      <c r="A215" s="8">
        <v>106</v>
      </c>
      <c r="B215" s="8" t="s">
        <v>173</v>
      </c>
      <c r="C215" s="9" t="s">
        <v>978</v>
      </c>
      <c r="D215" s="9" t="s">
        <v>316</v>
      </c>
      <c r="E215" s="10">
        <v>41530</v>
      </c>
      <c r="F215" s="10">
        <v>41842</v>
      </c>
      <c r="G215" s="11">
        <f t="shared" si="3"/>
        <v>313</v>
      </c>
      <c r="H215" s="9" t="s">
        <v>494</v>
      </c>
      <c r="I215" s="12" t="s">
        <v>979</v>
      </c>
      <c r="J215" s="9" t="s">
        <v>980</v>
      </c>
      <c r="K215" s="9" t="s">
        <v>253</v>
      </c>
      <c r="L215" s="13">
        <v>1822558.65</v>
      </c>
      <c r="M215" s="8">
        <v>108</v>
      </c>
      <c r="N215" s="8">
        <v>108</v>
      </c>
      <c r="O215" s="9" t="s">
        <v>788</v>
      </c>
      <c r="P215" s="9" t="s">
        <v>981</v>
      </c>
      <c r="Q215" s="6"/>
    </row>
    <row r="216" spans="1:17" ht="25.5" x14ac:dyDescent="0.25">
      <c r="A216" s="8">
        <v>105</v>
      </c>
      <c r="B216" s="8" t="s">
        <v>982</v>
      </c>
      <c r="C216" s="9" t="s">
        <v>983</v>
      </c>
      <c r="D216" s="9" t="s">
        <v>316</v>
      </c>
      <c r="E216" s="10">
        <v>41511</v>
      </c>
      <c r="F216" s="10">
        <v>41717</v>
      </c>
      <c r="G216" s="11">
        <f t="shared" si="3"/>
        <v>207</v>
      </c>
      <c r="H216" s="9" t="s">
        <v>984</v>
      </c>
      <c r="I216" s="12" t="s">
        <v>985</v>
      </c>
      <c r="J216" s="9" t="s">
        <v>986</v>
      </c>
      <c r="K216" s="9" t="s">
        <v>987</v>
      </c>
      <c r="L216" s="13">
        <v>1824133.65</v>
      </c>
      <c r="M216" s="8">
        <v>337</v>
      </c>
      <c r="N216" s="8">
        <v>337</v>
      </c>
      <c r="O216" s="9" t="s">
        <v>988</v>
      </c>
      <c r="P216" s="9" t="s">
        <v>989</v>
      </c>
      <c r="Q216" s="6"/>
    </row>
    <row r="217" spans="1:17" ht="38.25" x14ac:dyDescent="0.25">
      <c r="A217" s="8">
        <v>104</v>
      </c>
      <c r="B217" s="8" t="s">
        <v>164</v>
      </c>
      <c r="C217" s="9" t="s">
        <v>990</v>
      </c>
      <c r="D217" s="9" t="s">
        <v>991</v>
      </c>
      <c r="E217" s="10">
        <v>41496</v>
      </c>
      <c r="F217" s="10">
        <v>41586</v>
      </c>
      <c r="G217" s="11">
        <f t="shared" si="3"/>
        <v>91</v>
      </c>
      <c r="H217" s="9" t="s">
        <v>915</v>
      </c>
      <c r="I217" s="12" t="s">
        <v>916</v>
      </c>
      <c r="J217" s="9" t="s">
        <v>991</v>
      </c>
      <c r="K217" s="9" t="s">
        <v>78</v>
      </c>
      <c r="L217" s="13">
        <v>4671709.34</v>
      </c>
      <c r="M217" s="8">
        <v>124</v>
      </c>
      <c r="N217" s="8">
        <v>124</v>
      </c>
      <c r="O217" s="9" t="s">
        <v>796</v>
      </c>
      <c r="P217" s="9" t="s">
        <v>118</v>
      </c>
      <c r="Q217" s="6"/>
    </row>
    <row r="218" spans="1:17" ht="25.5" x14ac:dyDescent="0.25">
      <c r="A218" s="8">
        <v>103</v>
      </c>
      <c r="B218" s="8" t="s">
        <v>173</v>
      </c>
      <c r="C218" s="9" t="s">
        <v>992</v>
      </c>
      <c r="D218" s="9" t="s">
        <v>993</v>
      </c>
      <c r="E218" s="10">
        <v>41516</v>
      </c>
      <c r="F218" s="10">
        <v>41532</v>
      </c>
      <c r="G218" s="11">
        <f t="shared" si="3"/>
        <v>17</v>
      </c>
      <c r="H218" s="9" t="s">
        <v>494</v>
      </c>
      <c r="I218" s="12" t="s">
        <v>979</v>
      </c>
      <c r="J218" s="9" t="s">
        <v>777</v>
      </c>
      <c r="K218" s="9" t="s">
        <v>253</v>
      </c>
      <c r="L218" s="13">
        <v>1143238</v>
      </c>
      <c r="M218" s="8">
        <v>119</v>
      </c>
      <c r="N218" s="8">
        <v>119</v>
      </c>
      <c r="O218" s="9" t="s">
        <v>796</v>
      </c>
      <c r="P218" s="9" t="s">
        <v>118</v>
      </c>
      <c r="Q218" s="6"/>
    </row>
    <row r="219" spans="1:17" ht="38.25" x14ac:dyDescent="0.25">
      <c r="A219" s="8">
        <v>102</v>
      </c>
      <c r="B219" s="8" t="s">
        <v>994</v>
      </c>
      <c r="C219" s="9" t="s">
        <v>995</v>
      </c>
      <c r="D219" s="9" t="s">
        <v>996</v>
      </c>
      <c r="E219" s="10">
        <v>41511</v>
      </c>
      <c r="F219" s="10">
        <v>41519</v>
      </c>
      <c r="G219" s="11">
        <f t="shared" si="3"/>
        <v>9</v>
      </c>
      <c r="H219" s="9" t="s">
        <v>997</v>
      </c>
      <c r="I219" s="12" t="s">
        <v>998</v>
      </c>
      <c r="J219" s="9" t="s">
        <v>999</v>
      </c>
      <c r="K219" s="9" t="s">
        <v>92</v>
      </c>
      <c r="L219" s="13">
        <v>118244</v>
      </c>
      <c r="M219" s="8">
        <v>50</v>
      </c>
      <c r="N219" s="8">
        <v>50</v>
      </c>
      <c r="O219" s="9" t="s">
        <v>110</v>
      </c>
      <c r="P219" s="9" t="s">
        <v>874</v>
      </c>
      <c r="Q219" s="6"/>
    </row>
    <row r="220" spans="1:17" x14ac:dyDescent="0.25">
      <c r="A220" s="8">
        <v>101</v>
      </c>
      <c r="B220" s="8" t="s">
        <v>1000</v>
      </c>
      <c r="C220" s="9" t="s">
        <v>1001</v>
      </c>
      <c r="D220" s="9" t="s">
        <v>1002</v>
      </c>
      <c r="E220" s="10">
        <v>41483</v>
      </c>
      <c r="F220" s="10">
        <v>41531</v>
      </c>
      <c r="G220" s="11">
        <f t="shared" si="3"/>
        <v>49</v>
      </c>
      <c r="H220" s="9" t="s">
        <v>822</v>
      </c>
      <c r="I220" s="12" t="s">
        <v>823</v>
      </c>
      <c r="J220" s="9" t="s">
        <v>1003</v>
      </c>
      <c r="K220" s="9" t="s">
        <v>625</v>
      </c>
      <c r="L220" s="13">
        <v>340433.54</v>
      </c>
      <c r="M220" s="8">
        <v>45</v>
      </c>
      <c r="N220" s="8">
        <v>45</v>
      </c>
      <c r="O220" s="9" t="s">
        <v>738</v>
      </c>
      <c r="P220" s="9" t="s">
        <v>24</v>
      </c>
      <c r="Q220" s="6"/>
    </row>
    <row r="221" spans="1:17" ht="38.25" x14ac:dyDescent="0.25">
      <c r="A221" s="8">
        <v>100</v>
      </c>
      <c r="B221" s="8" t="s">
        <v>354</v>
      </c>
      <c r="C221" s="9" t="s">
        <v>1004</v>
      </c>
      <c r="D221" s="9" t="s">
        <v>1005</v>
      </c>
      <c r="E221" s="10">
        <v>41521</v>
      </c>
      <c r="F221" s="10">
        <v>41524</v>
      </c>
      <c r="G221" s="11">
        <f t="shared" si="3"/>
        <v>4</v>
      </c>
      <c r="H221" s="9" t="s">
        <v>1006</v>
      </c>
      <c r="I221" s="12" t="s">
        <v>1007</v>
      </c>
      <c r="J221" s="9" t="s">
        <v>1008</v>
      </c>
      <c r="K221" s="9" t="s">
        <v>672</v>
      </c>
      <c r="L221" s="13">
        <v>186687</v>
      </c>
      <c r="M221" s="8">
        <v>95</v>
      </c>
      <c r="N221" s="8">
        <v>95</v>
      </c>
      <c r="O221" s="9" t="s">
        <v>47</v>
      </c>
      <c r="P221" s="9" t="s">
        <v>63</v>
      </c>
      <c r="Q221" s="6"/>
    </row>
    <row r="222" spans="1:17" ht="25.5" x14ac:dyDescent="0.25">
      <c r="A222" s="8">
        <v>99</v>
      </c>
      <c r="B222" s="8" t="s">
        <v>136</v>
      </c>
      <c r="C222" s="9" t="s">
        <v>1009</v>
      </c>
      <c r="D222" s="9" t="s">
        <v>601</v>
      </c>
      <c r="E222" s="10">
        <v>41496</v>
      </c>
      <c r="F222" s="10">
        <v>41521</v>
      </c>
      <c r="G222" s="11">
        <f t="shared" si="3"/>
        <v>26</v>
      </c>
      <c r="H222" s="9" t="s">
        <v>508</v>
      </c>
      <c r="I222" s="12" t="s">
        <v>509</v>
      </c>
      <c r="J222" s="9" t="s">
        <v>1010</v>
      </c>
      <c r="K222" s="9" t="s">
        <v>92</v>
      </c>
      <c r="L222" s="13">
        <v>1467509.5</v>
      </c>
      <c r="M222" s="8">
        <v>46</v>
      </c>
      <c r="N222" s="8">
        <v>46</v>
      </c>
      <c r="O222" s="9" t="s">
        <v>47</v>
      </c>
      <c r="P222" s="9" t="s">
        <v>63</v>
      </c>
      <c r="Q222" s="6"/>
    </row>
    <row r="223" spans="1:17" ht="25.5" x14ac:dyDescent="0.25">
      <c r="A223" s="8">
        <v>98</v>
      </c>
      <c r="B223" s="8" t="s">
        <v>16</v>
      </c>
      <c r="C223" s="9" t="s">
        <v>1011</v>
      </c>
      <c r="D223" s="9" t="s">
        <v>675</v>
      </c>
      <c r="E223" s="10">
        <v>41471</v>
      </c>
      <c r="F223" s="10">
        <v>41573</v>
      </c>
      <c r="G223" s="11">
        <f t="shared" si="3"/>
        <v>103</v>
      </c>
      <c r="H223" s="9" t="s">
        <v>1012</v>
      </c>
      <c r="I223" s="12" t="s">
        <v>428</v>
      </c>
      <c r="J223" s="9" t="s">
        <v>1013</v>
      </c>
      <c r="K223" s="9" t="s">
        <v>1014</v>
      </c>
      <c r="L223" s="13">
        <v>1565580</v>
      </c>
      <c r="M223" s="8">
        <v>55</v>
      </c>
      <c r="N223" s="8">
        <v>55</v>
      </c>
      <c r="O223" s="9" t="s">
        <v>110</v>
      </c>
      <c r="P223" s="9" t="s">
        <v>63</v>
      </c>
      <c r="Q223" s="6"/>
    </row>
    <row r="224" spans="1:17" ht="25.5" x14ac:dyDescent="0.25">
      <c r="A224" s="8">
        <v>97</v>
      </c>
      <c r="B224" s="8" t="s">
        <v>1015</v>
      </c>
      <c r="C224" s="9" t="s">
        <v>1016</v>
      </c>
      <c r="D224" s="9" t="s">
        <v>1017</v>
      </c>
      <c r="E224" s="10">
        <v>41463</v>
      </c>
      <c r="F224" s="10">
        <v>41469</v>
      </c>
      <c r="G224" s="11">
        <f t="shared" si="3"/>
        <v>7</v>
      </c>
      <c r="H224" s="9" t="s">
        <v>1018</v>
      </c>
      <c r="I224" s="12" t="s">
        <v>1019</v>
      </c>
      <c r="J224" s="9" t="s">
        <v>1020</v>
      </c>
      <c r="K224" s="9" t="s">
        <v>1021</v>
      </c>
      <c r="L224" s="13">
        <v>362875.76</v>
      </c>
      <c r="M224" s="8">
        <v>60</v>
      </c>
      <c r="N224" s="8">
        <v>60</v>
      </c>
      <c r="O224" s="9" t="s">
        <v>110</v>
      </c>
      <c r="P224" s="9" t="s">
        <v>63</v>
      </c>
      <c r="Q224" s="6"/>
    </row>
    <row r="225" spans="1:17" ht="25.5" x14ac:dyDescent="0.25">
      <c r="A225" s="8">
        <v>96</v>
      </c>
      <c r="B225" s="8" t="s">
        <v>56</v>
      </c>
      <c r="C225" s="9" t="s">
        <v>1022</v>
      </c>
      <c r="D225" s="9" t="s">
        <v>1023</v>
      </c>
      <c r="E225" s="10">
        <v>41457</v>
      </c>
      <c r="F225" s="10">
        <v>41462</v>
      </c>
      <c r="G225" s="11">
        <f t="shared" si="3"/>
        <v>6</v>
      </c>
      <c r="H225" s="9" t="s">
        <v>952</v>
      </c>
      <c r="I225" s="12" t="s">
        <v>953</v>
      </c>
      <c r="J225" s="9" t="s">
        <v>1024</v>
      </c>
      <c r="K225" s="9" t="s">
        <v>1025</v>
      </c>
      <c r="L225" s="13">
        <v>130320</v>
      </c>
      <c r="M225" s="8">
        <v>60</v>
      </c>
      <c r="N225" s="8">
        <v>60</v>
      </c>
      <c r="O225" s="9" t="s">
        <v>738</v>
      </c>
      <c r="P225" s="9" t="s">
        <v>63</v>
      </c>
      <c r="Q225" s="6"/>
    </row>
    <row r="226" spans="1:17" ht="25.5" x14ac:dyDescent="0.25">
      <c r="A226" s="8">
        <v>95</v>
      </c>
      <c r="B226" s="8" t="s">
        <v>640</v>
      </c>
      <c r="C226" s="9" t="s">
        <v>1026</v>
      </c>
      <c r="D226" s="9" t="s">
        <v>50</v>
      </c>
      <c r="E226" s="10">
        <v>41466</v>
      </c>
      <c r="F226" s="10">
        <v>41494</v>
      </c>
      <c r="G226" s="11">
        <f t="shared" si="3"/>
        <v>29</v>
      </c>
      <c r="H226" s="9" t="s">
        <v>1027</v>
      </c>
      <c r="I226" s="12" t="s">
        <v>1028</v>
      </c>
      <c r="J226" s="9" t="s">
        <v>1029</v>
      </c>
      <c r="K226" s="9" t="s">
        <v>1030</v>
      </c>
      <c r="L226" s="13">
        <v>247928.25</v>
      </c>
      <c r="M226" s="8">
        <v>75</v>
      </c>
      <c r="N226" s="8">
        <v>75</v>
      </c>
      <c r="O226" s="9" t="s">
        <v>788</v>
      </c>
      <c r="P226" s="9" t="s">
        <v>343</v>
      </c>
      <c r="Q226" s="6"/>
    </row>
    <row r="227" spans="1:17" ht="38.25" x14ac:dyDescent="0.25">
      <c r="A227" s="8">
        <v>94</v>
      </c>
      <c r="B227" s="8" t="s">
        <v>354</v>
      </c>
      <c r="C227" s="9" t="s">
        <v>1031</v>
      </c>
      <c r="D227" s="9" t="s">
        <v>601</v>
      </c>
      <c r="E227" s="10">
        <v>41457</v>
      </c>
      <c r="F227" s="10">
        <v>41469</v>
      </c>
      <c r="G227" s="11">
        <f t="shared" si="3"/>
        <v>13</v>
      </c>
      <c r="H227" s="9" t="s">
        <v>1006</v>
      </c>
      <c r="I227" s="12" t="s">
        <v>1007</v>
      </c>
      <c r="J227" s="9" t="s">
        <v>1032</v>
      </c>
      <c r="K227" s="9" t="s">
        <v>672</v>
      </c>
      <c r="L227" s="13">
        <v>1016492</v>
      </c>
      <c r="M227" s="8">
        <v>95</v>
      </c>
      <c r="N227" s="8">
        <v>95</v>
      </c>
      <c r="O227" s="9" t="s">
        <v>47</v>
      </c>
      <c r="P227" s="9" t="s">
        <v>24</v>
      </c>
      <c r="Q227" s="6"/>
    </row>
    <row r="228" spans="1:17" ht="38.25" x14ac:dyDescent="0.25">
      <c r="A228" s="8">
        <v>93</v>
      </c>
      <c r="B228" s="8" t="s">
        <v>613</v>
      </c>
      <c r="C228" s="9" t="s">
        <v>1033</v>
      </c>
      <c r="D228" s="9" t="s">
        <v>601</v>
      </c>
      <c r="E228" s="10">
        <v>41445</v>
      </c>
      <c r="F228" s="10">
        <v>41457</v>
      </c>
      <c r="G228" s="11">
        <f t="shared" si="3"/>
        <v>13</v>
      </c>
      <c r="H228" s="9" t="s">
        <v>1034</v>
      </c>
      <c r="I228" s="12" t="s">
        <v>1035</v>
      </c>
      <c r="J228" s="9" t="s">
        <v>1036</v>
      </c>
      <c r="K228" s="9" t="s">
        <v>422</v>
      </c>
      <c r="L228" s="13">
        <v>834246</v>
      </c>
      <c r="M228" s="8">
        <v>110</v>
      </c>
      <c r="N228" s="8">
        <v>110</v>
      </c>
      <c r="O228" s="9" t="s">
        <v>47</v>
      </c>
      <c r="P228" s="9" t="s">
        <v>24</v>
      </c>
      <c r="Q228" s="6"/>
    </row>
    <row r="229" spans="1:17" ht="25.5" x14ac:dyDescent="0.25">
      <c r="A229" s="8">
        <v>92</v>
      </c>
      <c r="B229" s="8" t="s">
        <v>762</v>
      </c>
      <c r="C229" s="9" t="s">
        <v>846</v>
      </c>
      <c r="D229" s="9" t="s">
        <v>50</v>
      </c>
      <c r="E229" s="10">
        <v>41439</v>
      </c>
      <c r="F229" s="10">
        <v>41554</v>
      </c>
      <c r="G229" s="11">
        <f t="shared" si="3"/>
        <v>116</v>
      </c>
      <c r="H229" s="9" t="s">
        <v>848</v>
      </c>
      <c r="I229" s="12" t="s">
        <v>849</v>
      </c>
      <c r="J229" s="9" t="s">
        <v>1037</v>
      </c>
      <c r="K229" s="9" t="s">
        <v>219</v>
      </c>
      <c r="L229" s="13">
        <v>149666.79999999999</v>
      </c>
      <c r="M229" s="8">
        <v>50</v>
      </c>
      <c r="N229" s="8">
        <v>60</v>
      </c>
      <c r="O229" s="9" t="s">
        <v>110</v>
      </c>
      <c r="P229" s="9" t="s">
        <v>886</v>
      </c>
      <c r="Q229" s="6"/>
    </row>
    <row r="230" spans="1:17" x14ac:dyDescent="0.25">
      <c r="A230" s="8">
        <v>91</v>
      </c>
      <c r="B230" s="8" t="s">
        <v>1038</v>
      </c>
      <c r="C230" s="9" t="s">
        <v>1039</v>
      </c>
      <c r="D230" s="9" t="s">
        <v>316</v>
      </c>
      <c r="E230" s="10">
        <v>41426</v>
      </c>
      <c r="F230" s="10">
        <v>41511</v>
      </c>
      <c r="G230" s="11">
        <f t="shared" si="3"/>
        <v>86</v>
      </c>
      <c r="H230" s="9" t="s">
        <v>1040</v>
      </c>
      <c r="I230" s="12" t="s">
        <v>1041</v>
      </c>
      <c r="J230" s="9" t="s">
        <v>1042</v>
      </c>
      <c r="K230" s="9" t="s">
        <v>1043</v>
      </c>
      <c r="L230" s="13">
        <v>1008752.67</v>
      </c>
      <c r="M230" s="8">
        <v>270</v>
      </c>
      <c r="N230" s="8">
        <v>270</v>
      </c>
      <c r="O230" s="9" t="s">
        <v>988</v>
      </c>
      <c r="P230" s="9" t="s">
        <v>989</v>
      </c>
      <c r="Q230" s="6"/>
    </row>
    <row r="231" spans="1:17" ht="25.5" x14ac:dyDescent="0.25">
      <c r="A231" s="8">
        <v>90</v>
      </c>
      <c r="B231" s="8" t="s">
        <v>1044</v>
      </c>
      <c r="C231" s="9" t="s">
        <v>1045</v>
      </c>
      <c r="D231" s="9" t="s">
        <v>1046</v>
      </c>
      <c r="E231" s="10">
        <v>41416</v>
      </c>
      <c r="F231" s="10">
        <v>41434</v>
      </c>
      <c r="G231" s="11">
        <f t="shared" si="3"/>
        <v>19</v>
      </c>
      <c r="H231" s="9" t="s">
        <v>1047</v>
      </c>
      <c r="I231" s="12" t="s">
        <v>1048</v>
      </c>
      <c r="J231" s="9" t="s">
        <v>1049</v>
      </c>
      <c r="K231" s="9" t="s">
        <v>1050</v>
      </c>
      <c r="L231" s="13">
        <v>161422</v>
      </c>
      <c r="M231" s="8">
        <v>50</v>
      </c>
      <c r="N231" s="8">
        <v>110</v>
      </c>
      <c r="O231" s="9" t="s">
        <v>47</v>
      </c>
      <c r="P231" s="9" t="s">
        <v>1051</v>
      </c>
      <c r="Q231" s="6"/>
    </row>
    <row r="232" spans="1:17" ht="25.5" x14ac:dyDescent="0.25">
      <c r="A232" s="8">
        <v>89</v>
      </c>
      <c r="B232" s="8" t="s">
        <v>155</v>
      </c>
      <c r="C232" s="9" t="s">
        <v>1052</v>
      </c>
      <c r="D232" s="9" t="s">
        <v>1053</v>
      </c>
      <c r="E232" s="10">
        <v>41409</v>
      </c>
      <c r="F232" s="10">
        <v>41431</v>
      </c>
      <c r="G232" s="11">
        <f t="shared" si="3"/>
        <v>23</v>
      </c>
      <c r="H232" s="9" t="s">
        <v>634</v>
      </c>
      <c r="I232" s="12" t="s">
        <v>635</v>
      </c>
      <c r="J232" s="9" t="s">
        <v>1054</v>
      </c>
      <c r="K232" s="9" t="s">
        <v>161</v>
      </c>
      <c r="L232" s="13">
        <v>1388533</v>
      </c>
      <c r="M232" s="8">
        <v>57</v>
      </c>
      <c r="N232" s="8">
        <v>57</v>
      </c>
      <c r="O232" s="9" t="s">
        <v>110</v>
      </c>
      <c r="P232" s="9" t="s">
        <v>63</v>
      </c>
      <c r="Q232" s="6"/>
    </row>
    <row r="233" spans="1:17" x14ac:dyDescent="0.25">
      <c r="A233" s="8">
        <v>88</v>
      </c>
      <c r="B233" s="8" t="s">
        <v>719</v>
      </c>
      <c r="C233" s="9" t="s">
        <v>1055</v>
      </c>
      <c r="D233" s="9" t="s">
        <v>1056</v>
      </c>
      <c r="E233" s="10">
        <v>41404</v>
      </c>
      <c r="F233" s="10">
        <v>41415</v>
      </c>
      <c r="G233" s="11">
        <f t="shared" si="3"/>
        <v>12</v>
      </c>
      <c r="H233" s="9" t="s">
        <v>1057</v>
      </c>
      <c r="I233" s="12" t="s">
        <v>1048</v>
      </c>
      <c r="J233" s="9" t="s">
        <v>1049</v>
      </c>
      <c r="K233" s="9" t="s">
        <v>92</v>
      </c>
      <c r="L233" s="13">
        <v>207498</v>
      </c>
      <c r="M233" s="8">
        <v>46</v>
      </c>
      <c r="N233" s="8">
        <v>46</v>
      </c>
      <c r="O233" s="9" t="s">
        <v>788</v>
      </c>
      <c r="P233" s="9" t="s">
        <v>168</v>
      </c>
      <c r="Q233" s="6"/>
    </row>
    <row r="234" spans="1:17" ht="25.5" x14ac:dyDescent="0.25">
      <c r="A234" s="8">
        <v>87</v>
      </c>
      <c r="B234" s="8" t="s">
        <v>173</v>
      </c>
      <c r="C234" s="9" t="s">
        <v>1058</v>
      </c>
      <c r="D234" s="9" t="s">
        <v>1053</v>
      </c>
      <c r="E234" s="10">
        <v>41400</v>
      </c>
      <c r="F234" s="10">
        <v>41422</v>
      </c>
      <c r="G234" s="11">
        <f t="shared" si="3"/>
        <v>23</v>
      </c>
      <c r="H234" s="9" t="s">
        <v>962</v>
      </c>
      <c r="I234" s="12" t="s">
        <v>963</v>
      </c>
      <c r="J234" s="9" t="s">
        <v>1054</v>
      </c>
      <c r="K234" s="9" t="s">
        <v>253</v>
      </c>
      <c r="L234" s="13">
        <v>2344412</v>
      </c>
      <c r="M234" s="8">
        <v>119</v>
      </c>
      <c r="N234" s="8">
        <v>119</v>
      </c>
      <c r="O234" s="9" t="s">
        <v>47</v>
      </c>
      <c r="P234" s="9" t="s">
        <v>845</v>
      </c>
      <c r="Q234" s="6"/>
    </row>
    <row r="235" spans="1:17" ht="25.5" x14ac:dyDescent="0.25">
      <c r="A235" s="8">
        <v>86</v>
      </c>
      <c r="B235" s="8" t="s">
        <v>136</v>
      </c>
      <c r="C235" s="9" t="s">
        <v>1059</v>
      </c>
      <c r="D235" s="9" t="s">
        <v>316</v>
      </c>
      <c r="E235" s="10">
        <v>41375</v>
      </c>
      <c r="F235" s="10">
        <v>42063</v>
      </c>
      <c r="G235" s="11">
        <f t="shared" si="3"/>
        <v>689</v>
      </c>
      <c r="H235" s="9" t="s">
        <v>1060</v>
      </c>
      <c r="I235" s="12" t="s">
        <v>1061</v>
      </c>
      <c r="J235" s="9" t="s">
        <v>316</v>
      </c>
      <c r="K235" s="9" t="s">
        <v>92</v>
      </c>
      <c r="L235" s="13">
        <v>2230000</v>
      </c>
      <c r="M235" s="8">
        <v>46</v>
      </c>
      <c r="N235" s="8">
        <v>46</v>
      </c>
      <c r="O235" s="9" t="s">
        <v>107</v>
      </c>
      <c r="P235" s="9" t="s">
        <v>451</v>
      </c>
      <c r="Q235" s="6"/>
    </row>
    <row r="236" spans="1:17" ht="25.5" x14ac:dyDescent="0.25">
      <c r="A236" s="8">
        <v>85</v>
      </c>
      <c r="B236" s="8" t="s">
        <v>173</v>
      </c>
      <c r="C236" s="9" t="s">
        <v>1062</v>
      </c>
      <c r="D236" s="9" t="s">
        <v>316</v>
      </c>
      <c r="E236" s="10">
        <v>41291</v>
      </c>
      <c r="F236" s="10">
        <v>41618</v>
      </c>
      <c r="G236" s="11">
        <f t="shared" si="3"/>
        <v>328</v>
      </c>
      <c r="H236" s="9" t="s">
        <v>494</v>
      </c>
      <c r="I236" s="12" t="s">
        <v>979</v>
      </c>
      <c r="J236" s="9" t="s">
        <v>1063</v>
      </c>
      <c r="K236" s="9" t="s">
        <v>1064</v>
      </c>
      <c r="L236" s="13">
        <v>466891</v>
      </c>
      <c r="M236" s="8">
        <v>68</v>
      </c>
      <c r="N236" s="8">
        <v>68</v>
      </c>
      <c r="O236" s="9" t="s">
        <v>1065</v>
      </c>
      <c r="P236" s="9" t="s">
        <v>929</v>
      </c>
      <c r="Q236" s="6"/>
    </row>
    <row r="237" spans="1:17" ht="25.5" x14ac:dyDescent="0.25">
      <c r="A237" s="8">
        <v>84</v>
      </c>
      <c r="B237" s="8" t="s">
        <v>819</v>
      </c>
      <c r="C237" s="9" t="s">
        <v>1066</v>
      </c>
      <c r="D237" s="9" t="s">
        <v>1067</v>
      </c>
      <c r="E237" s="10">
        <v>41331</v>
      </c>
      <c r="F237" s="10">
        <v>41336</v>
      </c>
      <c r="G237" s="11">
        <f t="shared" si="3"/>
        <v>6</v>
      </c>
      <c r="H237" s="9" t="s">
        <v>822</v>
      </c>
      <c r="I237" s="12" t="s">
        <v>823</v>
      </c>
      <c r="J237" s="9" t="s">
        <v>1068</v>
      </c>
      <c r="K237" s="9" t="s">
        <v>253</v>
      </c>
      <c r="L237" s="13">
        <v>73473</v>
      </c>
      <c r="M237" s="8">
        <v>119</v>
      </c>
      <c r="N237" s="8">
        <v>119</v>
      </c>
      <c r="O237" s="9" t="s">
        <v>47</v>
      </c>
      <c r="P237" s="9" t="s">
        <v>1051</v>
      </c>
      <c r="Q237" s="6"/>
    </row>
    <row r="238" spans="1:17" ht="25.5" x14ac:dyDescent="0.25">
      <c r="A238" s="8">
        <v>83</v>
      </c>
      <c r="B238" s="8" t="s">
        <v>619</v>
      </c>
      <c r="C238" s="9" t="s">
        <v>1069</v>
      </c>
      <c r="D238" s="9" t="s">
        <v>316</v>
      </c>
      <c r="E238" s="10">
        <v>41189</v>
      </c>
      <c r="F238" s="10">
        <v>41224</v>
      </c>
      <c r="G238" s="11">
        <f t="shared" si="3"/>
        <v>36</v>
      </c>
      <c r="H238" s="9" t="s">
        <v>1070</v>
      </c>
      <c r="I238" s="12" t="s">
        <v>1071</v>
      </c>
      <c r="J238" s="9" t="s">
        <v>1072</v>
      </c>
      <c r="K238" s="9" t="s">
        <v>625</v>
      </c>
      <c r="L238" s="13">
        <v>337860</v>
      </c>
      <c r="M238" s="8">
        <v>41</v>
      </c>
      <c r="N238" s="8">
        <v>41</v>
      </c>
      <c r="O238" s="9" t="s">
        <v>788</v>
      </c>
      <c r="P238" s="9" t="s">
        <v>1073</v>
      </c>
      <c r="Q238" s="6"/>
    </row>
    <row r="239" spans="1:17" x14ac:dyDescent="0.25">
      <c r="A239" s="8">
        <v>82</v>
      </c>
      <c r="B239" s="8" t="s">
        <v>819</v>
      </c>
      <c r="C239" s="9" t="s">
        <v>1074</v>
      </c>
      <c r="D239" s="9" t="s">
        <v>1075</v>
      </c>
      <c r="E239" s="10">
        <v>41194</v>
      </c>
      <c r="F239" s="10">
        <v>41197</v>
      </c>
      <c r="G239" s="11">
        <f t="shared" si="3"/>
        <v>4</v>
      </c>
      <c r="H239" s="9" t="s">
        <v>822</v>
      </c>
      <c r="I239" s="12" t="s">
        <v>823</v>
      </c>
      <c r="J239" s="9" t="s">
        <v>1076</v>
      </c>
      <c r="K239" s="9" t="s">
        <v>253</v>
      </c>
      <c r="L239" s="13">
        <v>75628.399999999994</v>
      </c>
      <c r="M239" s="8">
        <v>110</v>
      </c>
      <c r="N239" s="8">
        <v>110</v>
      </c>
      <c r="O239" s="9" t="s">
        <v>107</v>
      </c>
      <c r="P239" s="9" t="s">
        <v>63</v>
      </c>
      <c r="Q239" s="6"/>
    </row>
    <row r="240" spans="1:17" x14ac:dyDescent="0.25">
      <c r="A240" s="8">
        <v>81</v>
      </c>
      <c r="B240" s="8" t="s">
        <v>155</v>
      </c>
      <c r="C240" s="9" t="s">
        <v>1077</v>
      </c>
      <c r="D240" s="9" t="s">
        <v>513</v>
      </c>
      <c r="E240" s="10">
        <v>41156</v>
      </c>
      <c r="F240" s="10">
        <v>41164</v>
      </c>
      <c r="G240" s="11">
        <f t="shared" si="3"/>
        <v>9</v>
      </c>
      <c r="H240" s="9" t="s">
        <v>317</v>
      </c>
      <c r="I240" s="12" t="s">
        <v>318</v>
      </c>
      <c r="J240" s="9" t="s">
        <v>1078</v>
      </c>
      <c r="K240" s="9" t="s">
        <v>161</v>
      </c>
      <c r="L240" s="13">
        <v>131590</v>
      </c>
      <c r="M240" s="8">
        <v>50</v>
      </c>
      <c r="N240" s="8">
        <v>60</v>
      </c>
      <c r="O240" s="9" t="s">
        <v>47</v>
      </c>
      <c r="P240" s="9" t="s">
        <v>63</v>
      </c>
      <c r="Q240" s="6"/>
    </row>
    <row r="241" spans="1:17" ht="25.5" x14ac:dyDescent="0.25">
      <c r="A241" s="8">
        <v>80</v>
      </c>
      <c r="B241" s="8" t="s">
        <v>79</v>
      </c>
      <c r="C241" s="9" t="s">
        <v>1079</v>
      </c>
      <c r="D241" s="9" t="s">
        <v>316</v>
      </c>
      <c r="E241" s="10">
        <v>41133</v>
      </c>
      <c r="F241" s="10">
        <v>41377</v>
      </c>
      <c r="G241" s="11">
        <f t="shared" si="3"/>
        <v>245</v>
      </c>
      <c r="H241" s="9" t="s">
        <v>713</v>
      </c>
      <c r="I241" s="12" t="s">
        <v>206</v>
      </c>
      <c r="J241" s="9" t="s">
        <v>1080</v>
      </c>
      <c r="K241" s="9" t="s">
        <v>1081</v>
      </c>
      <c r="L241" s="13">
        <v>1650000</v>
      </c>
      <c r="M241" s="8">
        <v>118</v>
      </c>
      <c r="N241" s="8">
        <v>118</v>
      </c>
      <c r="O241" s="9" t="s">
        <v>1082</v>
      </c>
      <c r="P241" s="9" t="s">
        <v>1083</v>
      </c>
      <c r="Q241" s="6"/>
    </row>
    <row r="242" spans="1:17" ht="25.5" x14ac:dyDescent="0.25">
      <c r="A242" s="8">
        <v>79</v>
      </c>
      <c r="B242" s="8" t="s">
        <v>660</v>
      </c>
      <c r="C242" s="9" t="s">
        <v>1084</v>
      </c>
      <c r="D242" s="9" t="s">
        <v>755</v>
      </c>
      <c r="E242" s="10">
        <v>41115</v>
      </c>
      <c r="F242" s="10">
        <v>41129</v>
      </c>
      <c r="G242" s="11">
        <f t="shared" si="3"/>
        <v>15</v>
      </c>
      <c r="H242" s="9" t="s">
        <v>870</v>
      </c>
      <c r="I242" s="12" t="s">
        <v>871</v>
      </c>
      <c r="J242" s="9" t="s">
        <v>1085</v>
      </c>
      <c r="K242" s="9" t="s">
        <v>873</v>
      </c>
      <c r="L242" s="13">
        <v>923961</v>
      </c>
      <c r="M242" s="8">
        <v>50</v>
      </c>
      <c r="N242" s="8">
        <v>60</v>
      </c>
      <c r="O242" s="9" t="s">
        <v>110</v>
      </c>
      <c r="P242" s="9" t="s">
        <v>63</v>
      </c>
      <c r="Q242" s="6"/>
    </row>
    <row r="243" spans="1:17" ht="25.5" x14ac:dyDescent="0.25">
      <c r="A243" s="8">
        <v>78</v>
      </c>
      <c r="B243" s="8" t="s">
        <v>173</v>
      </c>
      <c r="C243" s="9" t="s">
        <v>1086</v>
      </c>
      <c r="D243" s="9" t="s">
        <v>1087</v>
      </c>
      <c r="E243" s="10">
        <v>41099</v>
      </c>
      <c r="F243" s="10">
        <v>41102</v>
      </c>
      <c r="G243" s="11">
        <f t="shared" si="3"/>
        <v>4</v>
      </c>
      <c r="H243" s="9" t="s">
        <v>1088</v>
      </c>
      <c r="I243" s="12" t="s">
        <v>1089</v>
      </c>
      <c r="J243" s="9" t="s">
        <v>1090</v>
      </c>
      <c r="K243" s="9" t="s">
        <v>253</v>
      </c>
      <c r="L243" s="13">
        <v>180000</v>
      </c>
      <c r="M243" s="8">
        <v>110</v>
      </c>
      <c r="N243" s="8">
        <v>110</v>
      </c>
      <c r="O243" s="9" t="s">
        <v>47</v>
      </c>
      <c r="P243" s="9" t="s">
        <v>1091</v>
      </c>
      <c r="Q243" s="6"/>
    </row>
    <row r="244" spans="1:17" ht="25.5" x14ac:dyDescent="0.25">
      <c r="A244" s="8">
        <v>77</v>
      </c>
      <c r="B244" s="8" t="s">
        <v>25</v>
      </c>
      <c r="C244" s="9" t="s">
        <v>1092</v>
      </c>
      <c r="D244" s="9" t="s">
        <v>1093</v>
      </c>
      <c r="E244" s="10">
        <v>41030</v>
      </c>
      <c r="F244" s="10">
        <v>41121</v>
      </c>
      <c r="G244" s="11">
        <f t="shared" si="3"/>
        <v>92</v>
      </c>
      <c r="H244" s="9" t="s">
        <v>529</v>
      </c>
      <c r="I244" s="12" t="s">
        <v>530</v>
      </c>
      <c r="J244" s="9" t="s">
        <v>1094</v>
      </c>
      <c r="K244" s="9" t="s">
        <v>30</v>
      </c>
      <c r="L244" s="13">
        <v>3006836</v>
      </c>
      <c r="M244" s="8">
        <v>0</v>
      </c>
      <c r="N244" s="8">
        <v>50</v>
      </c>
      <c r="O244" s="9" t="s">
        <v>47</v>
      </c>
      <c r="P244" s="9" t="s">
        <v>1091</v>
      </c>
      <c r="Q244" s="6"/>
    </row>
    <row r="245" spans="1:17" x14ac:dyDescent="0.25">
      <c r="A245" s="8">
        <v>76</v>
      </c>
      <c r="B245" s="8" t="s">
        <v>1095</v>
      </c>
      <c r="C245" s="9" t="s">
        <v>1096</v>
      </c>
      <c r="D245" s="9" t="s">
        <v>1097</v>
      </c>
      <c r="E245" s="10">
        <v>41014</v>
      </c>
      <c r="F245" s="10">
        <v>41022</v>
      </c>
      <c r="G245" s="11">
        <f t="shared" si="3"/>
        <v>9</v>
      </c>
      <c r="H245" s="9"/>
      <c r="I245" s="12"/>
      <c r="J245" s="9"/>
      <c r="K245" s="9" t="s">
        <v>1098</v>
      </c>
      <c r="L245" s="13">
        <v>34650</v>
      </c>
      <c r="M245" s="8"/>
      <c r="N245" s="8"/>
      <c r="O245" s="9" t="s">
        <v>47</v>
      </c>
      <c r="P245" s="9"/>
      <c r="Q245" s="6"/>
    </row>
    <row r="246" spans="1:17" ht="25.5" x14ac:dyDescent="0.25">
      <c r="A246" s="8">
        <v>75</v>
      </c>
      <c r="B246" s="8" t="s">
        <v>155</v>
      </c>
      <c r="C246" s="9" t="s">
        <v>1099</v>
      </c>
      <c r="D246" s="9" t="s">
        <v>1100</v>
      </c>
      <c r="E246" s="10">
        <v>41010</v>
      </c>
      <c r="F246" s="10">
        <v>41020</v>
      </c>
      <c r="G246" s="11">
        <f t="shared" si="3"/>
        <v>11</v>
      </c>
      <c r="H246" s="9" t="s">
        <v>634</v>
      </c>
      <c r="I246" s="12" t="s">
        <v>635</v>
      </c>
      <c r="J246" s="9" t="s">
        <v>1100</v>
      </c>
      <c r="K246" s="9" t="s">
        <v>161</v>
      </c>
      <c r="L246" s="13">
        <v>400000</v>
      </c>
      <c r="M246" s="8">
        <v>50</v>
      </c>
      <c r="N246" s="8">
        <v>60</v>
      </c>
      <c r="O246" s="9" t="s">
        <v>47</v>
      </c>
      <c r="P246" s="9" t="s">
        <v>63</v>
      </c>
      <c r="Q246" s="6"/>
    </row>
    <row r="247" spans="1:17" ht="63.75" x14ac:dyDescent="0.25">
      <c r="A247" s="8">
        <v>74</v>
      </c>
      <c r="B247" s="8" t="s">
        <v>173</v>
      </c>
      <c r="C247" s="9" t="s">
        <v>1101</v>
      </c>
      <c r="D247" s="9" t="s">
        <v>316</v>
      </c>
      <c r="E247" s="10">
        <v>40974</v>
      </c>
      <c r="F247" s="10">
        <v>41274</v>
      </c>
      <c r="G247" s="11">
        <f t="shared" si="3"/>
        <v>301</v>
      </c>
      <c r="H247" s="9" t="s">
        <v>494</v>
      </c>
      <c r="I247" s="12" t="s">
        <v>979</v>
      </c>
      <c r="J247" s="9" t="s">
        <v>1102</v>
      </c>
      <c r="K247" s="9" t="s">
        <v>873</v>
      </c>
      <c r="L247" s="13">
        <v>700000</v>
      </c>
      <c r="M247" s="8">
        <v>50</v>
      </c>
      <c r="N247" s="8">
        <v>50</v>
      </c>
      <c r="O247" s="9" t="s">
        <v>1103</v>
      </c>
      <c r="P247" s="9" t="s">
        <v>1104</v>
      </c>
      <c r="Q247" s="6"/>
    </row>
    <row r="248" spans="1:17" ht="25.5" x14ac:dyDescent="0.25">
      <c r="A248" s="8">
        <v>73</v>
      </c>
      <c r="B248" s="8" t="s">
        <v>155</v>
      </c>
      <c r="C248" s="9" t="s">
        <v>1105</v>
      </c>
      <c r="D248" s="9" t="s">
        <v>316</v>
      </c>
      <c r="E248" s="10">
        <v>40917</v>
      </c>
      <c r="F248" s="10">
        <v>41363</v>
      </c>
      <c r="G248" s="11">
        <f t="shared" si="3"/>
        <v>447</v>
      </c>
      <c r="H248" s="9" t="s">
        <v>1106</v>
      </c>
      <c r="I248" s="12" t="s">
        <v>1107</v>
      </c>
      <c r="J248" s="9" t="s">
        <v>1108</v>
      </c>
      <c r="K248" s="9" t="s">
        <v>161</v>
      </c>
      <c r="L248" s="13">
        <v>300000</v>
      </c>
      <c r="M248" s="8">
        <v>50</v>
      </c>
      <c r="N248" s="8">
        <v>60</v>
      </c>
      <c r="O248" s="9" t="s">
        <v>107</v>
      </c>
      <c r="P248" s="9" t="s">
        <v>1109</v>
      </c>
      <c r="Q248" s="6"/>
    </row>
    <row r="249" spans="1:17" ht="25.5" x14ac:dyDescent="0.25">
      <c r="A249" s="8">
        <v>72</v>
      </c>
      <c r="B249" s="8" t="s">
        <v>155</v>
      </c>
      <c r="C249" s="9" t="s">
        <v>1110</v>
      </c>
      <c r="D249" s="9" t="s">
        <v>1111</v>
      </c>
      <c r="E249" s="10">
        <v>40916</v>
      </c>
      <c r="F249" s="10">
        <v>40923</v>
      </c>
      <c r="G249" s="11">
        <f t="shared" si="3"/>
        <v>8</v>
      </c>
      <c r="H249" s="9" t="s">
        <v>634</v>
      </c>
      <c r="I249" s="12" t="s">
        <v>635</v>
      </c>
      <c r="J249" s="9" t="s">
        <v>1112</v>
      </c>
      <c r="K249" s="9" t="s">
        <v>161</v>
      </c>
      <c r="L249" s="13">
        <v>468120.88</v>
      </c>
      <c r="M249" s="8">
        <v>50</v>
      </c>
      <c r="N249" s="8">
        <v>60</v>
      </c>
      <c r="O249" s="9" t="s">
        <v>47</v>
      </c>
      <c r="P249" s="9" t="s">
        <v>1113</v>
      </c>
      <c r="Q249" s="6"/>
    </row>
    <row r="250" spans="1:17" ht="25.5" x14ac:dyDescent="0.25">
      <c r="A250" s="8">
        <v>71</v>
      </c>
      <c r="B250" s="8" t="s">
        <v>173</v>
      </c>
      <c r="C250" s="9" t="s">
        <v>960</v>
      </c>
      <c r="D250" s="9" t="s">
        <v>316</v>
      </c>
      <c r="E250" s="10">
        <v>40892</v>
      </c>
      <c r="F250" s="10">
        <v>41213</v>
      </c>
      <c r="G250" s="11">
        <f t="shared" si="3"/>
        <v>322</v>
      </c>
      <c r="H250" s="9" t="s">
        <v>494</v>
      </c>
      <c r="I250" s="12" t="s">
        <v>979</v>
      </c>
      <c r="J250" s="9" t="s">
        <v>1114</v>
      </c>
      <c r="K250" s="9" t="s">
        <v>253</v>
      </c>
      <c r="L250" s="13">
        <v>623390</v>
      </c>
      <c r="M250" s="8">
        <v>110</v>
      </c>
      <c r="N250" s="8">
        <v>110</v>
      </c>
      <c r="O250" s="9" t="s">
        <v>788</v>
      </c>
      <c r="P250" s="9" t="s">
        <v>1115</v>
      </c>
      <c r="Q250" s="6"/>
    </row>
    <row r="251" spans="1:17" ht="25.5" x14ac:dyDescent="0.25">
      <c r="A251" s="8">
        <v>70</v>
      </c>
      <c r="B251" s="8" t="s">
        <v>173</v>
      </c>
      <c r="C251" s="9" t="s">
        <v>1116</v>
      </c>
      <c r="D251" s="9" t="s">
        <v>316</v>
      </c>
      <c r="E251" s="10">
        <v>40852</v>
      </c>
      <c r="F251" s="10">
        <v>40858</v>
      </c>
      <c r="G251" s="11">
        <f t="shared" si="3"/>
        <v>7</v>
      </c>
      <c r="H251" s="9" t="s">
        <v>494</v>
      </c>
      <c r="I251" s="12" t="s">
        <v>979</v>
      </c>
      <c r="J251" s="9" t="s">
        <v>1117</v>
      </c>
      <c r="K251" s="9" t="s">
        <v>253</v>
      </c>
      <c r="L251" s="13">
        <v>125123</v>
      </c>
      <c r="M251" s="8">
        <v>110</v>
      </c>
      <c r="N251" s="8">
        <v>110</v>
      </c>
      <c r="O251" s="9" t="s">
        <v>47</v>
      </c>
      <c r="P251" s="9" t="s">
        <v>1118</v>
      </c>
      <c r="Q251" s="6"/>
    </row>
    <row r="252" spans="1:17" ht="25.5" x14ac:dyDescent="0.25">
      <c r="A252" s="8">
        <v>69</v>
      </c>
      <c r="B252" s="8" t="s">
        <v>164</v>
      </c>
      <c r="C252" s="9" t="s">
        <v>1119</v>
      </c>
      <c r="D252" s="9" t="s">
        <v>1120</v>
      </c>
      <c r="E252" s="10">
        <v>40836</v>
      </c>
      <c r="F252" s="10">
        <v>40847</v>
      </c>
      <c r="G252" s="11">
        <f t="shared" si="3"/>
        <v>12</v>
      </c>
      <c r="H252" s="9" t="s">
        <v>1121</v>
      </c>
      <c r="I252" s="12" t="s">
        <v>1122</v>
      </c>
      <c r="J252" s="9" t="s">
        <v>1123</v>
      </c>
      <c r="K252" s="9" t="s">
        <v>78</v>
      </c>
      <c r="L252" s="13">
        <v>150240</v>
      </c>
      <c r="M252" s="8">
        <v>114</v>
      </c>
      <c r="N252" s="8">
        <v>145</v>
      </c>
      <c r="O252" s="9" t="s">
        <v>788</v>
      </c>
      <c r="P252" s="9" t="s">
        <v>24</v>
      </c>
      <c r="Q252" s="6"/>
    </row>
    <row r="253" spans="1:17" ht="25.5" x14ac:dyDescent="0.25">
      <c r="A253" s="8">
        <v>68</v>
      </c>
      <c r="B253" s="8" t="s">
        <v>660</v>
      </c>
      <c r="C253" s="9" t="s">
        <v>1124</v>
      </c>
      <c r="D253" s="9" t="s">
        <v>316</v>
      </c>
      <c r="E253" s="10">
        <v>40812</v>
      </c>
      <c r="F253" s="10">
        <v>41100</v>
      </c>
      <c r="G253" s="11">
        <f t="shared" si="3"/>
        <v>289</v>
      </c>
      <c r="H253" s="9" t="s">
        <v>930</v>
      </c>
      <c r="I253" s="12" t="s">
        <v>931</v>
      </c>
      <c r="J253" s="9" t="s">
        <v>1125</v>
      </c>
      <c r="K253" s="9" t="s">
        <v>851</v>
      </c>
      <c r="L253" s="13">
        <v>228925</v>
      </c>
      <c r="M253" s="8">
        <v>50</v>
      </c>
      <c r="N253" s="8">
        <v>60</v>
      </c>
      <c r="O253" s="9" t="s">
        <v>1126</v>
      </c>
      <c r="P253" s="9" t="s">
        <v>1127</v>
      </c>
      <c r="Q253" s="6"/>
    </row>
    <row r="254" spans="1:17" ht="25.5" x14ac:dyDescent="0.25">
      <c r="A254" s="8">
        <v>67</v>
      </c>
      <c r="B254" s="8" t="s">
        <v>619</v>
      </c>
      <c r="C254" s="9" t="s">
        <v>1128</v>
      </c>
      <c r="D254" s="9" t="s">
        <v>1129</v>
      </c>
      <c r="E254" s="10">
        <v>40812</v>
      </c>
      <c r="F254" s="10">
        <v>40817</v>
      </c>
      <c r="G254" s="11">
        <f t="shared" si="3"/>
        <v>6</v>
      </c>
      <c r="H254" s="9" t="s">
        <v>1130</v>
      </c>
      <c r="I254" s="12" t="s">
        <v>1131</v>
      </c>
      <c r="J254" s="9" t="s">
        <v>1132</v>
      </c>
      <c r="K254" s="9" t="s">
        <v>1133</v>
      </c>
      <c r="L254" s="13">
        <v>350000</v>
      </c>
      <c r="M254" s="8">
        <v>45</v>
      </c>
      <c r="N254" s="8">
        <v>50</v>
      </c>
      <c r="O254" s="9" t="s">
        <v>107</v>
      </c>
      <c r="P254" s="9" t="s">
        <v>63</v>
      </c>
      <c r="Q254" s="6"/>
    </row>
    <row r="255" spans="1:17" ht="25.5" x14ac:dyDescent="0.25">
      <c r="A255" s="8">
        <v>66</v>
      </c>
      <c r="B255" s="8" t="s">
        <v>1134</v>
      </c>
      <c r="C255" s="9" t="s">
        <v>1135</v>
      </c>
      <c r="D255" s="9" t="s">
        <v>1136</v>
      </c>
      <c r="E255" s="10">
        <v>40774</v>
      </c>
      <c r="F255" s="10">
        <v>40792</v>
      </c>
      <c r="G255" s="11">
        <f t="shared" si="3"/>
        <v>19</v>
      </c>
      <c r="H255" s="9" t="s">
        <v>508</v>
      </c>
      <c r="I255" s="12" t="s">
        <v>509</v>
      </c>
      <c r="J255" s="9" t="s">
        <v>1137</v>
      </c>
      <c r="K255" s="9" t="s">
        <v>92</v>
      </c>
      <c r="L255" s="13">
        <v>988453.73</v>
      </c>
      <c r="M255" s="8">
        <v>50</v>
      </c>
      <c r="N255" s="8">
        <v>60</v>
      </c>
      <c r="O255" s="9" t="s">
        <v>47</v>
      </c>
      <c r="P255" s="9" t="s">
        <v>24</v>
      </c>
      <c r="Q255" s="6"/>
    </row>
    <row r="256" spans="1:17" x14ac:dyDescent="0.25">
      <c r="A256" s="8">
        <v>65</v>
      </c>
      <c r="B256" s="8" t="s">
        <v>1138</v>
      </c>
      <c r="C256" s="9" t="s">
        <v>1139</v>
      </c>
      <c r="D256" s="9" t="s">
        <v>1140</v>
      </c>
      <c r="E256" s="10">
        <v>40725</v>
      </c>
      <c r="F256" s="10">
        <v>40755</v>
      </c>
      <c r="G256" s="11">
        <f t="shared" si="3"/>
        <v>31</v>
      </c>
      <c r="H256" s="9" t="s">
        <v>1141</v>
      </c>
      <c r="I256" s="12" t="s">
        <v>1142</v>
      </c>
      <c r="J256" s="9" t="s">
        <v>1140</v>
      </c>
      <c r="K256" s="9" t="s">
        <v>851</v>
      </c>
      <c r="L256" s="13">
        <v>215150</v>
      </c>
      <c r="M256" s="8">
        <v>50</v>
      </c>
      <c r="N256" s="8">
        <v>60</v>
      </c>
      <c r="O256" s="9" t="s">
        <v>788</v>
      </c>
      <c r="P256" s="9" t="s">
        <v>1143</v>
      </c>
      <c r="Q256" s="6"/>
    </row>
    <row r="257" spans="1:17" ht="25.5" x14ac:dyDescent="0.25">
      <c r="A257" s="8">
        <v>64</v>
      </c>
      <c r="B257" s="8" t="s">
        <v>1144</v>
      </c>
      <c r="C257" s="9" t="s">
        <v>1145</v>
      </c>
      <c r="D257" s="9" t="s">
        <v>1146</v>
      </c>
      <c r="E257" s="10">
        <v>40745</v>
      </c>
      <c r="F257" s="10">
        <v>40754</v>
      </c>
      <c r="G257" s="11">
        <f t="shared" si="3"/>
        <v>10</v>
      </c>
      <c r="H257" s="9" t="s">
        <v>1147</v>
      </c>
      <c r="I257" s="12" t="s">
        <v>1148</v>
      </c>
      <c r="J257" s="9" t="s">
        <v>1149</v>
      </c>
      <c r="K257" s="9" t="s">
        <v>705</v>
      </c>
      <c r="L257" s="13">
        <v>758304.28</v>
      </c>
      <c r="M257" s="8">
        <v>125</v>
      </c>
      <c r="N257" s="8">
        <v>130</v>
      </c>
      <c r="O257" s="9" t="s">
        <v>47</v>
      </c>
      <c r="P257" s="9" t="s">
        <v>63</v>
      </c>
      <c r="Q257" s="6"/>
    </row>
    <row r="258" spans="1:17" ht="25.5" x14ac:dyDescent="0.25">
      <c r="A258" s="8">
        <v>63</v>
      </c>
      <c r="B258" s="8" t="s">
        <v>613</v>
      </c>
      <c r="C258" s="9" t="s">
        <v>1150</v>
      </c>
      <c r="D258" s="9" t="s">
        <v>1151</v>
      </c>
      <c r="E258" s="10">
        <v>40733</v>
      </c>
      <c r="F258" s="10">
        <v>40745</v>
      </c>
      <c r="G258" s="11">
        <f t="shared" ref="G258:G321" si="4">IF(AND(ISNUMBER(E258),ISNUMBER(F258)),F258-E258+1,"")</f>
        <v>13</v>
      </c>
      <c r="H258" s="9" t="s">
        <v>1034</v>
      </c>
      <c r="I258" s="12" t="s">
        <v>1035</v>
      </c>
      <c r="J258" s="9" t="s">
        <v>1152</v>
      </c>
      <c r="K258" s="9" t="s">
        <v>422</v>
      </c>
      <c r="L258" s="13">
        <v>882403.66</v>
      </c>
      <c r="M258" s="8">
        <v>80</v>
      </c>
      <c r="N258" s="8">
        <v>120</v>
      </c>
      <c r="O258" s="9" t="s">
        <v>47</v>
      </c>
      <c r="P258" s="9" t="s">
        <v>63</v>
      </c>
      <c r="Q258" s="6"/>
    </row>
    <row r="259" spans="1:17" ht="25.5" x14ac:dyDescent="0.25">
      <c r="A259" s="8">
        <v>62</v>
      </c>
      <c r="B259" s="8" t="s">
        <v>1153</v>
      </c>
      <c r="C259" s="9" t="s">
        <v>1154</v>
      </c>
      <c r="D259" s="9" t="s">
        <v>50</v>
      </c>
      <c r="E259" s="10">
        <v>40634</v>
      </c>
      <c r="F259" s="10">
        <v>40755</v>
      </c>
      <c r="G259" s="11">
        <f t="shared" si="4"/>
        <v>122</v>
      </c>
      <c r="H259" s="9" t="s">
        <v>1155</v>
      </c>
      <c r="I259" s="12"/>
      <c r="J259" s="9" t="s">
        <v>1156</v>
      </c>
      <c r="K259" s="9" t="s">
        <v>1157</v>
      </c>
      <c r="L259" s="13">
        <v>390000</v>
      </c>
      <c r="M259" s="8">
        <v>1</v>
      </c>
      <c r="N259" s="8">
        <v>1</v>
      </c>
      <c r="O259" s="9" t="s">
        <v>791</v>
      </c>
      <c r="P259" s="9" t="s">
        <v>1158</v>
      </c>
      <c r="Q259" s="6"/>
    </row>
    <row r="260" spans="1:17" ht="25.5" x14ac:dyDescent="0.25">
      <c r="A260" s="8">
        <v>61</v>
      </c>
      <c r="B260" s="8" t="s">
        <v>1044</v>
      </c>
      <c r="C260" s="9" t="s">
        <v>1159</v>
      </c>
      <c r="D260" s="9" t="s">
        <v>1160</v>
      </c>
      <c r="E260" s="10">
        <v>40664</v>
      </c>
      <c r="F260" s="10">
        <v>40694</v>
      </c>
      <c r="G260" s="11">
        <f t="shared" si="4"/>
        <v>31</v>
      </c>
      <c r="H260" s="9" t="s">
        <v>1047</v>
      </c>
      <c r="I260" s="12" t="s">
        <v>1048</v>
      </c>
      <c r="J260" s="9" t="s">
        <v>1049</v>
      </c>
      <c r="K260" s="9" t="s">
        <v>1161</v>
      </c>
      <c r="L260" s="13">
        <v>290000</v>
      </c>
      <c r="M260" s="8">
        <v>100</v>
      </c>
      <c r="N260" s="8">
        <v>100</v>
      </c>
      <c r="O260" s="9" t="s">
        <v>107</v>
      </c>
      <c r="P260" s="9" t="s">
        <v>1162</v>
      </c>
      <c r="Q260" s="6"/>
    </row>
    <row r="261" spans="1:17" ht="25.5" x14ac:dyDescent="0.25">
      <c r="A261" s="8">
        <v>60</v>
      </c>
      <c r="B261" s="8" t="s">
        <v>1044</v>
      </c>
      <c r="C261" s="9" t="s">
        <v>1159</v>
      </c>
      <c r="D261" s="9" t="s">
        <v>1163</v>
      </c>
      <c r="E261" s="10">
        <v>40664</v>
      </c>
      <c r="F261" s="10">
        <v>40724</v>
      </c>
      <c r="G261" s="11">
        <f t="shared" si="4"/>
        <v>61</v>
      </c>
      <c r="H261" s="9" t="s">
        <v>1047</v>
      </c>
      <c r="I261" s="12" t="s">
        <v>1048</v>
      </c>
      <c r="J261" s="9" t="s">
        <v>1049</v>
      </c>
      <c r="K261" s="9" t="s">
        <v>422</v>
      </c>
      <c r="L261" s="13">
        <v>180000</v>
      </c>
      <c r="M261" s="8">
        <v>80</v>
      </c>
      <c r="N261" s="8">
        <v>120</v>
      </c>
      <c r="O261" s="9" t="s">
        <v>107</v>
      </c>
      <c r="P261" s="9" t="s">
        <v>1162</v>
      </c>
      <c r="Q261" s="6"/>
    </row>
    <row r="262" spans="1:17" ht="25.5" x14ac:dyDescent="0.25">
      <c r="A262" s="8">
        <v>59</v>
      </c>
      <c r="B262" s="8" t="s">
        <v>1044</v>
      </c>
      <c r="C262" s="9" t="s">
        <v>1159</v>
      </c>
      <c r="D262" s="9" t="s">
        <v>1164</v>
      </c>
      <c r="E262" s="10">
        <v>40715</v>
      </c>
      <c r="F262" s="10">
        <v>40722</v>
      </c>
      <c r="G262" s="11">
        <f t="shared" si="4"/>
        <v>8</v>
      </c>
      <c r="H262" s="9" t="s">
        <v>1047</v>
      </c>
      <c r="I262" s="12" t="s">
        <v>1048</v>
      </c>
      <c r="J262" s="9" t="s">
        <v>1049</v>
      </c>
      <c r="K262" s="9" t="s">
        <v>161</v>
      </c>
      <c r="L262" s="13">
        <v>200000</v>
      </c>
      <c r="M262" s="8">
        <v>50</v>
      </c>
      <c r="N262" s="8">
        <v>60</v>
      </c>
      <c r="O262" s="9" t="s">
        <v>107</v>
      </c>
      <c r="P262" s="9" t="s">
        <v>845</v>
      </c>
      <c r="Q262" s="6"/>
    </row>
    <row r="263" spans="1:17" ht="25.5" x14ac:dyDescent="0.25">
      <c r="A263" s="8">
        <v>58</v>
      </c>
      <c r="B263" s="8" t="s">
        <v>719</v>
      </c>
      <c r="C263" s="9" t="s">
        <v>1165</v>
      </c>
      <c r="D263" s="9" t="s">
        <v>1166</v>
      </c>
      <c r="E263" s="10">
        <v>40664</v>
      </c>
      <c r="F263" s="10">
        <v>40724</v>
      </c>
      <c r="G263" s="11">
        <f t="shared" si="4"/>
        <v>61</v>
      </c>
      <c r="H263" s="9" t="s">
        <v>1047</v>
      </c>
      <c r="I263" s="12" t="s">
        <v>1048</v>
      </c>
      <c r="J263" s="9" t="s">
        <v>1167</v>
      </c>
      <c r="K263" s="9" t="s">
        <v>92</v>
      </c>
      <c r="L263" s="13">
        <v>490000</v>
      </c>
      <c r="M263" s="8">
        <v>50</v>
      </c>
      <c r="N263" s="8">
        <v>60</v>
      </c>
      <c r="O263" s="9" t="s">
        <v>1168</v>
      </c>
      <c r="P263" s="9" t="s">
        <v>24</v>
      </c>
      <c r="Q263" s="6"/>
    </row>
    <row r="264" spans="1:17" ht="25.5" x14ac:dyDescent="0.25">
      <c r="A264" s="8">
        <v>57</v>
      </c>
      <c r="B264" s="8" t="s">
        <v>25</v>
      </c>
      <c r="C264" s="9" t="s">
        <v>1169</v>
      </c>
      <c r="D264" s="9" t="s">
        <v>1170</v>
      </c>
      <c r="E264" s="10">
        <v>40674</v>
      </c>
      <c r="F264" s="10">
        <v>40704</v>
      </c>
      <c r="G264" s="11">
        <f t="shared" si="4"/>
        <v>31</v>
      </c>
      <c r="H264" s="9" t="s">
        <v>529</v>
      </c>
      <c r="I264" s="12" t="s">
        <v>1171</v>
      </c>
      <c r="J264" s="9" t="s">
        <v>1172</v>
      </c>
      <c r="K264" s="9" t="s">
        <v>30</v>
      </c>
      <c r="L264" s="13">
        <v>5400000</v>
      </c>
      <c r="M264" s="8">
        <v>0</v>
      </c>
      <c r="N264" s="8">
        <v>50</v>
      </c>
      <c r="O264" s="9" t="s">
        <v>47</v>
      </c>
      <c r="P264" s="9" t="s">
        <v>1173</v>
      </c>
      <c r="Q264" s="6"/>
    </row>
    <row r="265" spans="1:17" ht="25.5" x14ac:dyDescent="0.25">
      <c r="A265" s="8">
        <v>56</v>
      </c>
      <c r="B265" s="8" t="s">
        <v>155</v>
      </c>
      <c r="C265" s="9" t="s">
        <v>1174</v>
      </c>
      <c r="D265" s="9" t="s">
        <v>1175</v>
      </c>
      <c r="E265" s="10">
        <v>40662</v>
      </c>
      <c r="F265" s="10">
        <v>40677</v>
      </c>
      <c r="G265" s="11">
        <f t="shared" si="4"/>
        <v>16</v>
      </c>
      <c r="H265" s="9" t="s">
        <v>634</v>
      </c>
      <c r="I265" s="12" t="s">
        <v>635</v>
      </c>
      <c r="J265" s="9" t="s">
        <v>1176</v>
      </c>
      <c r="K265" s="9" t="s">
        <v>161</v>
      </c>
      <c r="L265" s="13">
        <v>1134626.6399999999</v>
      </c>
      <c r="M265" s="8">
        <v>50</v>
      </c>
      <c r="N265" s="8">
        <v>60</v>
      </c>
      <c r="O265" s="9" t="s">
        <v>107</v>
      </c>
      <c r="P265" s="9" t="s">
        <v>63</v>
      </c>
      <c r="Q265" s="6"/>
    </row>
    <row r="266" spans="1:17" ht="38.25" x14ac:dyDescent="0.25">
      <c r="A266" s="8">
        <v>55</v>
      </c>
      <c r="B266" s="8" t="s">
        <v>25</v>
      </c>
      <c r="C266" s="9" t="s">
        <v>1177</v>
      </c>
      <c r="D266" s="9" t="s">
        <v>1178</v>
      </c>
      <c r="E266" s="10">
        <v>40635</v>
      </c>
      <c r="F266" s="10">
        <v>40658</v>
      </c>
      <c r="G266" s="11">
        <f t="shared" si="4"/>
        <v>24</v>
      </c>
      <c r="H266" s="9" t="s">
        <v>529</v>
      </c>
      <c r="I266" s="12" t="s">
        <v>1171</v>
      </c>
      <c r="J266" s="9" t="s">
        <v>1179</v>
      </c>
      <c r="K266" s="9" t="s">
        <v>1180</v>
      </c>
      <c r="L266" s="13">
        <v>2376000</v>
      </c>
      <c r="M266" s="8">
        <v>50</v>
      </c>
      <c r="N266" s="8">
        <v>60</v>
      </c>
      <c r="O266" s="9" t="s">
        <v>47</v>
      </c>
      <c r="P266" s="9" t="s">
        <v>1181</v>
      </c>
      <c r="Q266" s="6"/>
    </row>
    <row r="267" spans="1:17" ht="38.25" x14ac:dyDescent="0.25">
      <c r="A267" s="8">
        <v>54</v>
      </c>
      <c r="B267" s="8" t="s">
        <v>173</v>
      </c>
      <c r="C267" s="9" t="s">
        <v>1182</v>
      </c>
      <c r="D267" s="9" t="s">
        <v>1183</v>
      </c>
      <c r="E267" s="10">
        <v>40613</v>
      </c>
      <c r="F267" s="10">
        <v>40663</v>
      </c>
      <c r="G267" s="11">
        <f t="shared" si="4"/>
        <v>51</v>
      </c>
      <c r="H267" s="9" t="s">
        <v>1088</v>
      </c>
      <c r="I267" s="12" t="s">
        <v>1089</v>
      </c>
      <c r="J267" s="9" t="s">
        <v>1184</v>
      </c>
      <c r="K267" s="9" t="s">
        <v>253</v>
      </c>
      <c r="L267" s="13">
        <v>700000</v>
      </c>
      <c r="M267" s="8">
        <v>110</v>
      </c>
      <c r="N267" s="8">
        <v>110</v>
      </c>
      <c r="O267" s="9" t="s">
        <v>788</v>
      </c>
      <c r="P267" s="9" t="s">
        <v>191</v>
      </c>
      <c r="Q267" s="6"/>
    </row>
    <row r="268" spans="1:17" ht="25.5" x14ac:dyDescent="0.25">
      <c r="A268" s="8">
        <v>53</v>
      </c>
      <c r="B268" s="8" t="s">
        <v>1134</v>
      </c>
      <c r="C268" s="9" t="s">
        <v>1185</v>
      </c>
      <c r="D268" s="9" t="s">
        <v>316</v>
      </c>
      <c r="E268" s="10">
        <v>40575</v>
      </c>
      <c r="F268" s="10">
        <v>40968</v>
      </c>
      <c r="G268" s="11">
        <f t="shared" si="4"/>
        <v>394</v>
      </c>
      <c r="H268" s="9" t="s">
        <v>1060</v>
      </c>
      <c r="I268" s="12" t="s">
        <v>1061</v>
      </c>
      <c r="J268" s="9" t="s">
        <v>1186</v>
      </c>
      <c r="K268" s="9" t="s">
        <v>92</v>
      </c>
      <c r="L268" s="13">
        <v>2500000</v>
      </c>
      <c r="M268" s="8">
        <v>50</v>
      </c>
      <c r="N268" s="8">
        <v>60</v>
      </c>
      <c r="O268" s="9" t="s">
        <v>1168</v>
      </c>
      <c r="P268" s="9" t="s">
        <v>24</v>
      </c>
      <c r="Q268" s="6"/>
    </row>
    <row r="269" spans="1:17" ht="25.5" x14ac:dyDescent="0.25">
      <c r="A269" s="8">
        <v>52</v>
      </c>
      <c r="B269" s="8" t="s">
        <v>155</v>
      </c>
      <c r="C269" s="9" t="s">
        <v>942</v>
      </c>
      <c r="D269" s="9" t="s">
        <v>316</v>
      </c>
      <c r="E269" s="10">
        <v>40544</v>
      </c>
      <c r="F269" s="10">
        <v>40939</v>
      </c>
      <c r="G269" s="11">
        <f t="shared" si="4"/>
        <v>396</v>
      </c>
      <c r="H269" s="9" t="s">
        <v>1106</v>
      </c>
      <c r="I269" s="12" t="s">
        <v>1107</v>
      </c>
      <c r="J269" s="9" t="s">
        <v>316</v>
      </c>
      <c r="K269" s="9" t="s">
        <v>161</v>
      </c>
      <c r="L269" s="13">
        <v>147900</v>
      </c>
      <c r="M269" s="8">
        <v>50</v>
      </c>
      <c r="N269" s="8">
        <v>60</v>
      </c>
      <c r="O269" s="9" t="s">
        <v>107</v>
      </c>
      <c r="P269" s="9" t="s">
        <v>353</v>
      </c>
      <c r="Q269" s="6"/>
    </row>
    <row r="270" spans="1:17" ht="25.5" x14ac:dyDescent="0.25">
      <c r="A270" s="8">
        <v>51</v>
      </c>
      <c r="B270" s="8" t="s">
        <v>354</v>
      </c>
      <c r="C270" s="9" t="s">
        <v>1031</v>
      </c>
      <c r="D270" s="9" t="s">
        <v>755</v>
      </c>
      <c r="E270" s="10">
        <v>40598</v>
      </c>
      <c r="F270" s="10">
        <v>40604</v>
      </c>
      <c r="G270" s="11">
        <f t="shared" si="4"/>
        <v>7</v>
      </c>
      <c r="H270" s="9" t="s">
        <v>1187</v>
      </c>
      <c r="I270" s="12" t="s">
        <v>1188</v>
      </c>
      <c r="J270" s="9" t="s">
        <v>1189</v>
      </c>
      <c r="K270" s="9" t="s">
        <v>672</v>
      </c>
      <c r="L270" s="13">
        <v>95000</v>
      </c>
      <c r="M270" s="8">
        <v>115</v>
      </c>
      <c r="N270" s="8">
        <v>115</v>
      </c>
      <c r="O270" s="9" t="s">
        <v>47</v>
      </c>
      <c r="P270" s="9" t="s">
        <v>1190</v>
      </c>
      <c r="Q270" s="6"/>
    </row>
    <row r="271" spans="1:17" ht="25.5" x14ac:dyDescent="0.25">
      <c r="A271" s="8">
        <v>50</v>
      </c>
      <c r="B271" s="8" t="s">
        <v>1191</v>
      </c>
      <c r="C271" s="9" t="s">
        <v>1192</v>
      </c>
      <c r="D271" s="9" t="s">
        <v>316</v>
      </c>
      <c r="E271" s="10">
        <v>40590</v>
      </c>
      <c r="F271" s="10">
        <v>40597</v>
      </c>
      <c r="G271" s="11">
        <f t="shared" si="4"/>
        <v>8</v>
      </c>
      <c r="H271" s="9" t="s">
        <v>1193</v>
      </c>
      <c r="I271" s="12" t="s">
        <v>1194</v>
      </c>
      <c r="J271" s="9" t="s">
        <v>1195</v>
      </c>
      <c r="K271" s="9" t="s">
        <v>1196</v>
      </c>
      <c r="L271" s="13">
        <v>83000</v>
      </c>
      <c r="M271" s="8">
        <v>100</v>
      </c>
      <c r="N271" s="8">
        <v>100</v>
      </c>
      <c r="O271" s="9" t="s">
        <v>107</v>
      </c>
      <c r="P271" s="9" t="s">
        <v>1197</v>
      </c>
      <c r="Q271" s="6"/>
    </row>
    <row r="272" spans="1:17" ht="38.25" x14ac:dyDescent="0.25">
      <c r="A272" s="8">
        <v>49</v>
      </c>
      <c r="B272" s="8" t="s">
        <v>1134</v>
      </c>
      <c r="C272" s="9"/>
      <c r="D272" s="9" t="s">
        <v>1198</v>
      </c>
      <c r="E272" s="10">
        <v>39845</v>
      </c>
      <c r="F272" s="10">
        <v>40602</v>
      </c>
      <c r="G272" s="11">
        <f t="shared" si="4"/>
        <v>758</v>
      </c>
      <c r="H272" s="9" t="s">
        <v>508</v>
      </c>
      <c r="I272" s="12" t="s">
        <v>509</v>
      </c>
      <c r="J272" s="9" t="s">
        <v>1199</v>
      </c>
      <c r="K272" s="9" t="s">
        <v>92</v>
      </c>
      <c r="L272" s="13">
        <v>1666000</v>
      </c>
      <c r="M272" s="8">
        <v>50</v>
      </c>
      <c r="N272" s="8">
        <v>60</v>
      </c>
      <c r="O272" s="9" t="s">
        <v>107</v>
      </c>
      <c r="P272" s="9" t="s">
        <v>673</v>
      </c>
      <c r="Q272" s="6"/>
    </row>
    <row r="273" spans="1:17" ht="25.5" x14ac:dyDescent="0.25">
      <c r="A273" s="8">
        <v>48</v>
      </c>
      <c r="B273" s="8" t="s">
        <v>173</v>
      </c>
      <c r="C273" s="9" t="s">
        <v>1200</v>
      </c>
      <c r="D273" s="9" t="s">
        <v>1201</v>
      </c>
      <c r="E273" s="10">
        <v>40563</v>
      </c>
      <c r="F273" s="10">
        <v>40571</v>
      </c>
      <c r="G273" s="11">
        <f t="shared" si="4"/>
        <v>9</v>
      </c>
      <c r="H273" s="9" t="s">
        <v>1088</v>
      </c>
      <c r="I273" s="12" t="s">
        <v>1089</v>
      </c>
      <c r="J273" s="9" t="s">
        <v>1202</v>
      </c>
      <c r="K273" s="9" t="s">
        <v>253</v>
      </c>
      <c r="L273" s="13">
        <v>210000</v>
      </c>
      <c r="M273" s="8">
        <v>110</v>
      </c>
      <c r="N273" s="8">
        <v>110</v>
      </c>
      <c r="O273" s="9" t="s">
        <v>47</v>
      </c>
      <c r="P273" s="9" t="s">
        <v>191</v>
      </c>
      <c r="Q273" s="6"/>
    </row>
    <row r="274" spans="1:17" ht="25.5" x14ac:dyDescent="0.25">
      <c r="A274" s="8">
        <v>47</v>
      </c>
      <c r="B274" s="8" t="s">
        <v>762</v>
      </c>
      <c r="C274" s="9" t="s">
        <v>1203</v>
      </c>
      <c r="D274" s="9" t="s">
        <v>316</v>
      </c>
      <c r="E274" s="10">
        <v>40360</v>
      </c>
      <c r="F274" s="10">
        <v>40543</v>
      </c>
      <c r="G274" s="11">
        <f t="shared" si="4"/>
        <v>184</v>
      </c>
      <c r="H274" s="9" t="s">
        <v>930</v>
      </c>
      <c r="I274" s="12" t="s">
        <v>931</v>
      </c>
      <c r="J274" s="9" t="s">
        <v>1204</v>
      </c>
      <c r="K274" s="9" t="s">
        <v>851</v>
      </c>
      <c r="L274" s="13">
        <v>113000</v>
      </c>
      <c r="M274" s="8">
        <v>50</v>
      </c>
      <c r="N274" s="8">
        <v>60</v>
      </c>
      <c r="O274" s="9" t="s">
        <v>107</v>
      </c>
      <c r="P274" s="9" t="s">
        <v>168</v>
      </c>
      <c r="Q274" s="6"/>
    </row>
    <row r="275" spans="1:17" ht="38.25" x14ac:dyDescent="0.25">
      <c r="A275" s="8">
        <v>46</v>
      </c>
      <c r="B275" s="8" t="s">
        <v>640</v>
      </c>
      <c r="C275" s="9" t="s">
        <v>1205</v>
      </c>
      <c r="D275" s="9" t="s">
        <v>1206</v>
      </c>
      <c r="E275" s="10">
        <v>40360</v>
      </c>
      <c r="F275" s="10">
        <v>40512</v>
      </c>
      <c r="G275" s="11">
        <f t="shared" si="4"/>
        <v>153</v>
      </c>
      <c r="H275" s="9" t="s">
        <v>1207</v>
      </c>
      <c r="I275" s="12" t="s">
        <v>1208</v>
      </c>
      <c r="J275" s="9" t="s">
        <v>1209</v>
      </c>
      <c r="K275" s="9" t="s">
        <v>1030</v>
      </c>
      <c r="L275" s="13">
        <v>535000</v>
      </c>
      <c r="M275" s="8">
        <v>80</v>
      </c>
      <c r="N275" s="8">
        <v>100</v>
      </c>
      <c r="O275" s="9" t="s">
        <v>788</v>
      </c>
      <c r="P275" s="9" t="s">
        <v>1210</v>
      </c>
      <c r="Q275" s="6"/>
    </row>
    <row r="276" spans="1:17" ht="25.5" x14ac:dyDescent="0.25">
      <c r="A276" s="8">
        <v>45</v>
      </c>
      <c r="B276" s="8" t="s">
        <v>1211</v>
      </c>
      <c r="C276" s="9" t="s">
        <v>1212</v>
      </c>
      <c r="D276" s="9" t="s">
        <v>316</v>
      </c>
      <c r="E276" s="10">
        <v>40455</v>
      </c>
      <c r="F276" s="10">
        <v>40463</v>
      </c>
      <c r="G276" s="11">
        <f t="shared" si="4"/>
        <v>9</v>
      </c>
      <c r="H276" s="9" t="s">
        <v>848</v>
      </c>
      <c r="I276" s="12" t="s">
        <v>849</v>
      </c>
      <c r="J276" s="9" t="s">
        <v>50</v>
      </c>
      <c r="K276" s="9" t="s">
        <v>1213</v>
      </c>
      <c r="L276" s="13">
        <v>73000</v>
      </c>
      <c r="M276" s="8">
        <v>50</v>
      </c>
      <c r="N276" s="8">
        <v>60</v>
      </c>
      <c r="O276" s="9" t="s">
        <v>1168</v>
      </c>
      <c r="P276" s="9" t="s">
        <v>1158</v>
      </c>
      <c r="Q276" s="6"/>
    </row>
    <row r="277" spans="1:17" ht="25.5" x14ac:dyDescent="0.25">
      <c r="A277" s="8">
        <v>44</v>
      </c>
      <c r="B277" s="8" t="s">
        <v>25</v>
      </c>
      <c r="C277" s="9" t="s">
        <v>1214</v>
      </c>
      <c r="D277" s="9" t="s">
        <v>1215</v>
      </c>
      <c r="E277" s="10">
        <v>40402</v>
      </c>
      <c r="F277" s="10">
        <v>40425</v>
      </c>
      <c r="G277" s="11">
        <f t="shared" si="4"/>
        <v>24</v>
      </c>
      <c r="H277" s="9" t="s">
        <v>529</v>
      </c>
      <c r="I277" s="12" t="s">
        <v>1171</v>
      </c>
      <c r="J277" s="9" t="s">
        <v>1216</v>
      </c>
      <c r="K277" s="9" t="s">
        <v>30</v>
      </c>
      <c r="L277" s="13">
        <v>2011000</v>
      </c>
      <c r="M277" s="8">
        <v>0</v>
      </c>
      <c r="N277" s="8">
        <v>50</v>
      </c>
      <c r="O277" s="9" t="s">
        <v>47</v>
      </c>
      <c r="P277" s="9" t="s">
        <v>1217</v>
      </c>
      <c r="Q277" s="6"/>
    </row>
    <row r="278" spans="1:17" ht="25.5" x14ac:dyDescent="0.25">
      <c r="A278" s="8">
        <v>43</v>
      </c>
      <c r="B278" s="8" t="s">
        <v>1218</v>
      </c>
      <c r="C278" s="9" t="s">
        <v>1219</v>
      </c>
      <c r="D278" s="9" t="s">
        <v>1220</v>
      </c>
      <c r="E278" s="10">
        <v>40360</v>
      </c>
      <c r="F278" s="10">
        <v>40663</v>
      </c>
      <c r="G278" s="11">
        <f t="shared" si="4"/>
        <v>304</v>
      </c>
      <c r="H278" s="9" t="s">
        <v>1221</v>
      </c>
      <c r="I278" s="12" t="s">
        <v>1222</v>
      </c>
      <c r="J278" s="9" t="s">
        <v>1223</v>
      </c>
      <c r="K278" s="9" t="s">
        <v>1025</v>
      </c>
      <c r="L278" s="13">
        <v>349778</v>
      </c>
      <c r="M278" s="8">
        <v>50</v>
      </c>
      <c r="N278" s="8">
        <v>60</v>
      </c>
      <c r="O278" s="9"/>
      <c r="P278" s="9" t="s">
        <v>1224</v>
      </c>
      <c r="Q278" s="6"/>
    </row>
    <row r="279" spans="1:17" ht="25.5" x14ac:dyDescent="0.25">
      <c r="A279" s="8">
        <v>42</v>
      </c>
      <c r="B279" s="8" t="s">
        <v>1225</v>
      </c>
      <c r="C279" s="9" t="s">
        <v>1226</v>
      </c>
      <c r="D279" s="9" t="s">
        <v>316</v>
      </c>
      <c r="E279" s="10">
        <v>40360</v>
      </c>
      <c r="F279" s="10">
        <v>40816</v>
      </c>
      <c r="G279" s="11">
        <f t="shared" si="4"/>
        <v>457</v>
      </c>
      <c r="H279" s="9" t="s">
        <v>1227</v>
      </c>
      <c r="I279" s="12"/>
      <c r="J279" s="9" t="s">
        <v>1228</v>
      </c>
      <c r="K279" s="9" t="s">
        <v>969</v>
      </c>
      <c r="L279" s="13">
        <v>308000</v>
      </c>
      <c r="M279" s="8">
        <v>50</v>
      </c>
      <c r="N279" s="8">
        <v>60</v>
      </c>
      <c r="O279" s="9" t="s">
        <v>47</v>
      </c>
      <c r="P279" s="9" t="s">
        <v>970</v>
      </c>
      <c r="Q279" s="6"/>
    </row>
    <row r="280" spans="1:17" ht="25.5" x14ac:dyDescent="0.25">
      <c r="A280" s="8">
        <v>41</v>
      </c>
      <c r="B280" s="8" t="s">
        <v>1229</v>
      </c>
      <c r="C280" s="9" t="s">
        <v>1230</v>
      </c>
      <c r="D280" s="9" t="s">
        <v>1231</v>
      </c>
      <c r="E280" s="10">
        <v>40347</v>
      </c>
      <c r="F280" s="10">
        <v>40380</v>
      </c>
      <c r="G280" s="11">
        <f t="shared" si="4"/>
        <v>34</v>
      </c>
      <c r="H280" s="9" t="s">
        <v>1088</v>
      </c>
      <c r="I280" s="12" t="s">
        <v>1089</v>
      </c>
      <c r="J280" s="9" t="s">
        <v>1232</v>
      </c>
      <c r="K280" s="9" t="s">
        <v>253</v>
      </c>
      <c r="L280" s="13">
        <v>833000</v>
      </c>
      <c r="M280" s="8">
        <v>110</v>
      </c>
      <c r="N280" s="8">
        <v>110</v>
      </c>
      <c r="O280" s="9" t="s">
        <v>47</v>
      </c>
      <c r="P280" s="9" t="s">
        <v>191</v>
      </c>
      <c r="Q280" s="6"/>
    </row>
    <row r="281" spans="1:17" ht="25.5" x14ac:dyDescent="0.25">
      <c r="A281" s="8">
        <v>40</v>
      </c>
      <c r="B281" s="8" t="s">
        <v>613</v>
      </c>
      <c r="C281" s="9" t="s">
        <v>1233</v>
      </c>
      <c r="D281" s="9" t="s">
        <v>316</v>
      </c>
      <c r="E281" s="10">
        <v>40299</v>
      </c>
      <c r="F281" s="10">
        <v>40329</v>
      </c>
      <c r="G281" s="11">
        <f t="shared" si="4"/>
        <v>31</v>
      </c>
      <c r="H281" s="9" t="s">
        <v>1234</v>
      </c>
      <c r="I281" s="12"/>
      <c r="J281" s="9" t="s">
        <v>50</v>
      </c>
      <c r="K281" s="9" t="s">
        <v>135</v>
      </c>
      <c r="L281" s="13">
        <v>71000</v>
      </c>
      <c r="M281" s="8">
        <v>80</v>
      </c>
      <c r="N281" s="8">
        <v>120</v>
      </c>
      <c r="O281" s="9" t="s">
        <v>1235</v>
      </c>
      <c r="P281" s="9" t="s">
        <v>1073</v>
      </c>
      <c r="Q281" s="6"/>
    </row>
    <row r="282" spans="1:17" ht="25.5" x14ac:dyDescent="0.25">
      <c r="A282" s="8">
        <v>39</v>
      </c>
      <c r="B282" s="8" t="s">
        <v>1218</v>
      </c>
      <c r="C282" s="9"/>
      <c r="D282" s="9" t="s">
        <v>316</v>
      </c>
      <c r="E282" s="10">
        <v>40299</v>
      </c>
      <c r="F282" s="10">
        <v>40329</v>
      </c>
      <c r="G282" s="11">
        <f t="shared" si="4"/>
        <v>31</v>
      </c>
      <c r="H282" s="9" t="s">
        <v>1221</v>
      </c>
      <c r="I282" s="12" t="s">
        <v>1222</v>
      </c>
      <c r="J282" s="9" t="s">
        <v>50</v>
      </c>
      <c r="K282" s="9" t="s">
        <v>1236</v>
      </c>
      <c r="L282" s="13">
        <v>61000</v>
      </c>
      <c r="M282" s="8">
        <v>50</v>
      </c>
      <c r="N282" s="8">
        <v>60</v>
      </c>
      <c r="O282" s="9" t="s">
        <v>1168</v>
      </c>
      <c r="P282" s="9" t="s">
        <v>818</v>
      </c>
      <c r="Q282" s="6"/>
    </row>
    <row r="283" spans="1:17" ht="25.5" x14ac:dyDescent="0.25">
      <c r="A283" s="8">
        <v>38</v>
      </c>
      <c r="B283" s="8" t="s">
        <v>155</v>
      </c>
      <c r="C283" s="9" t="s">
        <v>942</v>
      </c>
      <c r="D283" s="9" t="s">
        <v>1237</v>
      </c>
      <c r="E283" s="10">
        <v>40269</v>
      </c>
      <c r="F283" s="10">
        <v>40329</v>
      </c>
      <c r="G283" s="11">
        <f t="shared" si="4"/>
        <v>61</v>
      </c>
      <c r="H283" s="9" t="s">
        <v>634</v>
      </c>
      <c r="I283" s="12" t="s">
        <v>635</v>
      </c>
      <c r="J283" s="9" t="s">
        <v>1238</v>
      </c>
      <c r="K283" s="9" t="s">
        <v>161</v>
      </c>
      <c r="L283" s="13">
        <v>1441000</v>
      </c>
      <c r="M283" s="8">
        <v>50</v>
      </c>
      <c r="N283" s="8">
        <v>60</v>
      </c>
      <c r="O283" s="9" t="s">
        <v>107</v>
      </c>
      <c r="P283" s="9" t="s">
        <v>63</v>
      </c>
      <c r="Q283" s="6"/>
    </row>
    <row r="284" spans="1:17" ht="25.5" x14ac:dyDescent="0.25">
      <c r="A284" s="8">
        <v>37</v>
      </c>
      <c r="B284" s="8" t="s">
        <v>1134</v>
      </c>
      <c r="C284" s="9" t="s">
        <v>1239</v>
      </c>
      <c r="D284" s="9" t="s">
        <v>1240</v>
      </c>
      <c r="E284" s="10">
        <v>40299</v>
      </c>
      <c r="F284" s="10">
        <v>40329</v>
      </c>
      <c r="G284" s="11">
        <f t="shared" si="4"/>
        <v>31</v>
      </c>
      <c r="H284" s="9" t="s">
        <v>1241</v>
      </c>
      <c r="I284" s="12" t="s">
        <v>1242</v>
      </c>
      <c r="J284" s="9" t="s">
        <v>1243</v>
      </c>
      <c r="K284" s="9" t="s">
        <v>92</v>
      </c>
      <c r="L284" s="13">
        <v>265000</v>
      </c>
      <c r="M284" s="8">
        <v>50</v>
      </c>
      <c r="N284" s="8">
        <v>60</v>
      </c>
      <c r="O284" s="9" t="s">
        <v>107</v>
      </c>
      <c r="P284" s="9" t="s">
        <v>63</v>
      </c>
      <c r="Q284" s="6"/>
    </row>
    <row r="285" spans="1:17" ht="25.5" x14ac:dyDescent="0.25">
      <c r="A285" s="8">
        <v>36</v>
      </c>
      <c r="B285" s="8" t="s">
        <v>155</v>
      </c>
      <c r="C285" s="9" t="s">
        <v>1244</v>
      </c>
      <c r="D285" s="9" t="s">
        <v>316</v>
      </c>
      <c r="E285" s="10">
        <v>40210</v>
      </c>
      <c r="F285" s="10">
        <v>40329</v>
      </c>
      <c r="G285" s="11">
        <f t="shared" si="4"/>
        <v>120</v>
      </c>
      <c r="H285" s="9" t="s">
        <v>1106</v>
      </c>
      <c r="I285" s="12" t="s">
        <v>1245</v>
      </c>
      <c r="J285" s="9" t="s">
        <v>50</v>
      </c>
      <c r="K285" s="9" t="s">
        <v>161</v>
      </c>
      <c r="L285" s="13">
        <v>273000</v>
      </c>
      <c r="M285" s="8">
        <v>50</v>
      </c>
      <c r="N285" s="8">
        <v>60</v>
      </c>
      <c r="O285" s="9" t="s">
        <v>107</v>
      </c>
      <c r="P285" s="9" t="s">
        <v>353</v>
      </c>
      <c r="Q285" s="6"/>
    </row>
    <row r="286" spans="1:17" ht="25.5" x14ac:dyDescent="0.25">
      <c r="A286" s="8">
        <v>35</v>
      </c>
      <c r="B286" s="8" t="s">
        <v>660</v>
      </c>
      <c r="C286" s="9" t="s">
        <v>1246</v>
      </c>
      <c r="D286" s="9" t="s">
        <v>695</v>
      </c>
      <c r="E286" s="10">
        <v>40269</v>
      </c>
      <c r="F286" s="10">
        <v>40298</v>
      </c>
      <c r="G286" s="11">
        <f t="shared" si="4"/>
        <v>30</v>
      </c>
      <c r="H286" s="9" t="s">
        <v>930</v>
      </c>
      <c r="I286" s="12" t="s">
        <v>931</v>
      </c>
      <c r="J286" s="9" t="s">
        <v>1114</v>
      </c>
      <c r="K286" s="9" t="s">
        <v>873</v>
      </c>
      <c r="L286" s="13">
        <v>56000</v>
      </c>
      <c r="M286" s="8">
        <v>50</v>
      </c>
      <c r="N286" s="8">
        <v>60</v>
      </c>
      <c r="O286" s="9" t="s">
        <v>1168</v>
      </c>
      <c r="P286" s="9" t="s">
        <v>1247</v>
      </c>
      <c r="Q286" s="6"/>
    </row>
    <row r="287" spans="1:17" ht="25.5" x14ac:dyDescent="0.25">
      <c r="A287" s="8">
        <v>34</v>
      </c>
      <c r="B287" s="8" t="s">
        <v>613</v>
      </c>
      <c r="C287" s="9" t="s">
        <v>1248</v>
      </c>
      <c r="D287" s="9" t="s">
        <v>1249</v>
      </c>
      <c r="E287" s="10">
        <v>40269</v>
      </c>
      <c r="F287" s="10">
        <v>40298</v>
      </c>
      <c r="G287" s="11">
        <f t="shared" si="4"/>
        <v>30</v>
      </c>
      <c r="H287" s="9" t="s">
        <v>1034</v>
      </c>
      <c r="I287" s="12" t="s">
        <v>1035</v>
      </c>
      <c r="J287" s="9" t="s">
        <v>1250</v>
      </c>
      <c r="K287" s="9" t="s">
        <v>422</v>
      </c>
      <c r="L287" s="13">
        <v>353000</v>
      </c>
      <c r="M287" s="8">
        <v>80</v>
      </c>
      <c r="N287" s="8">
        <v>120</v>
      </c>
      <c r="O287" s="9" t="s">
        <v>47</v>
      </c>
      <c r="P287" s="9" t="s">
        <v>970</v>
      </c>
      <c r="Q287" s="6"/>
    </row>
    <row r="288" spans="1:17" ht="25.5" x14ac:dyDescent="0.25">
      <c r="A288" s="8">
        <v>33</v>
      </c>
      <c r="B288" s="8" t="s">
        <v>1134</v>
      </c>
      <c r="C288" s="9" t="s">
        <v>1251</v>
      </c>
      <c r="D288" s="9" t="s">
        <v>1252</v>
      </c>
      <c r="E288" s="10">
        <v>40238</v>
      </c>
      <c r="F288" s="10">
        <v>40268</v>
      </c>
      <c r="G288" s="11">
        <f t="shared" si="4"/>
        <v>31</v>
      </c>
      <c r="H288" s="9" t="s">
        <v>508</v>
      </c>
      <c r="I288" s="12" t="s">
        <v>509</v>
      </c>
      <c r="J288" s="9" t="s">
        <v>1253</v>
      </c>
      <c r="K288" s="9" t="s">
        <v>92</v>
      </c>
      <c r="L288" s="13">
        <v>160000</v>
      </c>
      <c r="M288" s="8">
        <v>50</v>
      </c>
      <c r="N288" s="8">
        <v>60</v>
      </c>
      <c r="O288" s="9" t="s">
        <v>107</v>
      </c>
      <c r="P288" s="9" t="s">
        <v>63</v>
      </c>
      <c r="Q288" s="6"/>
    </row>
    <row r="289" spans="1:17" ht="25.5" x14ac:dyDescent="0.25">
      <c r="A289" s="8">
        <v>32</v>
      </c>
      <c r="B289" s="8" t="s">
        <v>1218</v>
      </c>
      <c r="C289" s="9" t="s">
        <v>1254</v>
      </c>
      <c r="D289" s="9" t="s">
        <v>1255</v>
      </c>
      <c r="E289" s="10">
        <v>40210</v>
      </c>
      <c r="F289" s="10">
        <v>40237</v>
      </c>
      <c r="G289" s="11">
        <f t="shared" si="4"/>
        <v>28</v>
      </c>
      <c r="H289" s="9" t="s">
        <v>1221</v>
      </c>
      <c r="I289" s="12" t="s">
        <v>1222</v>
      </c>
      <c r="J289" s="9" t="s">
        <v>1256</v>
      </c>
      <c r="K289" s="9" t="s">
        <v>1257</v>
      </c>
      <c r="L289" s="13">
        <v>190000</v>
      </c>
      <c r="M289" s="8">
        <v>50</v>
      </c>
      <c r="N289" s="8">
        <v>60</v>
      </c>
      <c r="O289" s="9" t="s">
        <v>107</v>
      </c>
      <c r="P289" s="9"/>
      <c r="Q289" s="6"/>
    </row>
    <row r="290" spans="1:17" ht="25.5" x14ac:dyDescent="0.25">
      <c r="A290" s="8">
        <v>31</v>
      </c>
      <c r="B290" s="8" t="s">
        <v>1134</v>
      </c>
      <c r="C290" s="9" t="s">
        <v>1258</v>
      </c>
      <c r="D290" s="9" t="s">
        <v>755</v>
      </c>
      <c r="E290" s="10">
        <v>40107</v>
      </c>
      <c r="F290" s="10">
        <v>40126</v>
      </c>
      <c r="G290" s="11">
        <f t="shared" si="4"/>
        <v>20</v>
      </c>
      <c r="H290" s="9"/>
      <c r="I290" s="12"/>
      <c r="J290" s="9" t="s">
        <v>1259</v>
      </c>
      <c r="K290" s="9" t="s">
        <v>92</v>
      </c>
      <c r="L290" s="13">
        <v>1070000</v>
      </c>
      <c r="M290" s="8">
        <v>50</v>
      </c>
      <c r="N290" s="8">
        <v>60</v>
      </c>
      <c r="O290" s="9"/>
      <c r="P290" s="9"/>
      <c r="Q290" s="6"/>
    </row>
    <row r="291" spans="1:17" x14ac:dyDescent="0.25">
      <c r="A291" s="8">
        <v>30</v>
      </c>
      <c r="B291" s="8" t="s">
        <v>122</v>
      </c>
      <c r="C291" s="9" t="s">
        <v>1260</v>
      </c>
      <c r="D291" s="9" t="s">
        <v>1261</v>
      </c>
      <c r="E291" s="10">
        <v>40043</v>
      </c>
      <c r="F291" s="10">
        <v>40048</v>
      </c>
      <c r="G291" s="11">
        <f t="shared" si="4"/>
        <v>6</v>
      </c>
      <c r="H291" s="9"/>
      <c r="I291" s="12"/>
      <c r="J291" s="9" t="s">
        <v>1262</v>
      </c>
      <c r="K291" s="9" t="s">
        <v>253</v>
      </c>
      <c r="L291" s="13">
        <v>47000</v>
      </c>
      <c r="M291" s="8">
        <v>110</v>
      </c>
      <c r="N291" s="8">
        <v>110</v>
      </c>
      <c r="O291" s="9"/>
      <c r="P291" s="9"/>
      <c r="Q291" s="6"/>
    </row>
    <row r="292" spans="1:17" x14ac:dyDescent="0.25">
      <c r="A292" s="8">
        <v>29</v>
      </c>
      <c r="B292" s="8" t="s">
        <v>613</v>
      </c>
      <c r="C292" s="9" t="s">
        <v>1263</v>
      </c>
      <c r="D292" s="9" t="s">
        <v>601</v>
      </c>
      <c r="E292" s="10">
        <v>39983</v>
      </c>
      <c r="F292" s="10">
        <v>39996</v>
      </c>
      <c r="G292" s="11">
        <f t="shared" si="4"/>
        <v>14</v>
      </c>
      <c r="H292" s="9"/>
      <c r="I292" s="12"/>
      <c r="J292" s="9" t="s">
        <v>1264</v>
      </c>
      <c r="K292" s="9" t="s">
        <v>135</v>
      </c>
      <c r="L292" s="13">
        <v>603000</v>
      </c>
      <c r="M292" s="8">
        <v>80</v>
      </c>
      <c r="N292" s="8">
        <v>120</v>
      </c>
      <c r="O292" s="9"/>
      <c r="P292" s="9"/>
      <c r="Q292" s="6"/>
    </row>
    <row r="293" spans="1:17" x14ac:dyDescent="0.25">
      <c r="A293" s="8">
        <v>28</v>
      </c>
      <c r="B293" s="8" t="s">
        <v>1229</v>
      </c>
      <c r="C293" s="9"/>
      <c r="D293" s="9" t="s">
        <v>316</v>
      </c>
      <c r="E293" s="10">
        <v>39965</v>
      </c>
      <c r="F293" s="10">
        <v>40019</v>
      </c>
      <c r="G293" s="11">
        <f t="shared" si="4"/>
        <v>55</v>
      </c>
      <c r="H293" s="9"/>
      <c r="I293" s="12"/>
      <c r="J293" s="9" t="s">
        <v>50</v>
      </c>
      <c r="K293" s="9" t="s">
        <v>253</v>
      </c>
      <c r="L293" s="13">
        <v>140000</v>
      </c>
      <c r="M293" s="8">
        <v>110</v>
      </c>
      <c r="N293" s="8">
        <v>110</v>
      </c>
      <c r="O293" s="9"/>
      <c r="P293" s="9"/>
      <c r="Q293" s="6"/>
    </row>
    <row r="294" spans="1:17" x14ac:dyDescent="0.25">
      <c r="A294" s="8">
        <v>27</v>
      </c>
      <c r="B294" s="8" t="s">
        <v>155</v>
      </c>
      <c r="C294" s="9" t="s">
        <v>1265</v>
      </c>
      <c r="D294" s="9" t="s">
        <v>755</v>
      </c>
      <c r="E294" s="10">
        <v>39950</v>
      </c>
      <c r="F294" s="10">
        <v>39966</v>
      </c>
      <c r="G294" s="11">
        <f t="shared" si="4"/>
        <v>17</v>
      </c>
      <c r="H294" s="9"/>
      <c r="I294" s="12"/>
      <c r="J294" s="9" t="s">
        <v>1266</v>
      </c>
      <c r="K294" s="9" t="s">
        <v>161</v>
      </c>
      <c r="L294" s="13">
        <v>815000</v>
      </c>
      <c r="M294" s="8">
        <v>50</v>
      </c>
      <c r="N294" s="8">
        <v>60</v>
      </c>
      <c r="O294" s="9"/>
      <c r="P294" s="9"/>
      <c r="Q294" s="6"/>
    </row>
    <row r="295" spans="1:17" x14ac:dyDescent="0.25">
      <c r="A295" s="8">
        <v>26</v>
      </c>
      <c r="B295" s="8" t="s">
        <v>660</v>
      </c>
      <c r="C295" s="9" t="s">
        <v>1267</v>
      </c>
      <c r="D295" s="9" t="s">
        <v>695</v>
      </c>
      <c r="E295" s="10">
        <v>39904</v>
      </c>
      <c r="F295" s="10">
        <v>39964</v>
      </c>
      <c r="G295" s="11">
        <f t="shared" si="4"/>
        <v>61</v>
      </c>
      <c r="H295" s="9"/>
      <c r="I295" s="12"/>
      <c r="J295" s="9" t="s">
        <v>1114</v>
      </c>
      <c r="K295" s="9" t="s">
        <v>873</v>
      </c>
      <c r="L295" s="13">
        <v>39000</v>
      </c>
      <c r="M295" s="8">
        <v>50</v>
      </c>
      <c r="N295" s="8">
        <v>60</v>
      </c>
      <c r="O295" s="9"/>
      <c r="P295" s="9"/>
      <c r="Q295" s="6"/>
    </row>
    <row r="296" spans="1:17" ht="25.5" x14ac:dyDescent="0.25">
      <c r="A296" s="8">
        <v>25</v>
      </c>
      <c r="B296" s="8" t="s">
        <v>1134</v>
      </c>
      <c r="C296" s="9" t="s">
        <v>1268</v>
      </c>
      <c r="D296" s="9" t="s">
        <v>695</v>
      </c>
      <c r="E296" s="10">
        <v>39845</v>
      </c>
      <c r="F296" s="10">
        <v>40602</v>
      </c>
      <c r="G296" s="11">
        <f t="shared" si="4"/>
        <v>758</v>
      </c>
      <c r="H296" s="9"/>
      <c r="I296" s="12"/>
      <c r="J296" s="9" t="s">
        <v>1269</v>
      </c>
      <c r="K296" s="9" t="s">
        <v>92</v>
      </c>
      <c r="L296" s="13">
        <v>1666000</v>
      </c>
      <c r="M296" s="8">
        <v>50</v>
      </c>
      <c r="N296" s="8">
        <v>60</v>
      </c>
      <c r="O296" s="9"/>
      <c r="P296" s="9"/>
      <c r="Q296" s="6"/>
    </row>
    <row r="297" spans="1:17" x14ac:dyDescent="0.25">
      <c r="A297" s="8">
        <v>24</v>
      </c>
      <c r="B297" s="8" t="s">
        <v>155</v>
      </c>
      <c r="C297" s="9" t="s">
        <v>1270</v>
      </c>
      <c r="D297" s="9" t="s">
        <v>316</v>
      </c>
      <c r="E297" s="10">
        <v>39832</v>
      </c>
      <c r="F297" s="10">
        <v>39844</v>
      </c>
      <c r="G297" s="11">
        <f t="shared" si="4"/>
        <v>13</v>
      </c>
      <c r="H297" s="9"/>
      <c r="I297" s="12"/>
      <c r="J297" s="9" t="s">
        <v>50</v>
      </c>
      <c r="K297" s="9" t="s">
        <v>161</v>
      </c>
      <c r="L297" s="13">
        <v>493000</v>
      </c>
      <c r="M297" s="8">
        <v>50</v>
      </c>
      <c r="N297" s="8">
        <v>60</v>
      </c>
      <c r="O297" s="9"/>
      <c r="P297" s="9" t="s">
        <v>1271</v>
      </c>
      <c r="Q297" s="6"/>
    </row>
    <row r="298" spans="1:17" x14ac:dyDescent="0.25">
      <c r="A298" s="8">
        <v>23</v>
      </c>
      <c r="B298" s="8" t="s">
        <v>1272</v>
      </c>
      <c r="C298" s="9" t="s">
        <v>1273</v>
      </c>
      <c r="D298" s="9" t="s">
        <v>601</v>
      </c>
      <c r="E298" s="10">
        <v>39722</v>
      </c>
      <c r="F298" s="10">
        <v>40086</v>
      </c>
      <c r="G298" s="11">
        <f t="shared" si="4"/>
        <v>365</v>
      </c>
      <c r="H298" s="9"/>
      <c r="I298" s="12"/>
      <c r="J298" s="9" t="s">
        <v>1274</v>
      </c>
      <c r="K298" s="9" t="s">
        <v>1275</v>
      </c>
      <c r="L298" s="13">
        <v>532000</v>
      </c>
      <c r="M298" s="8">
        <v>50</v>
      </c>
      <c r="N298" s="8">
        <v>60</v>
      </c>
      <c r="O298" s="9"/>
      <c r="P298" s="9"/>
      <c r="Q298" s="6"/>
    </row>
    <row r="299" spans="1:17" x14ac:dyDescent="0.25">
      <c r="A299" s="8">
        <v>22</v>
      </c>
      <c r="B299" s="8" t="s">
        <v>1272</v>
      </c>
      <c r="C299" s="9" t="s">
        <v>1276</v>
      </c>
      <c r="D299" s="9" t="s">
        <v>695</v>
      </c>
      <c r="E299" s="10">
        <v>39661</v>
      </c>
      <c r="F299" s="10">
        <v>39691</v>
      </c>
      <c r="G299" s="11">
        <f t="shared" si="4"/>
        <v>31</v>
      </c>
      <c r="H299" s="9"/>
      <c r="I299" s="12"/>
      <c r="J299" s="9" t="s">
        <v>1114</v>
      </c>
      <c r="K299" s="9" t="s">
        <v>1277</v>
      </c>
      <c r="L299" s="13">
        <v>44000</v>
      </c>
      <c r="M299" s="8">
        <v>50</v>
      </c>
      <c r="N299" s="8">
        <v>60</v>
      </c>
      <c r="O299" s="9"/>
      <c r="P299" s="9"/>
      <c r="Q299" s="6"/>
    </row>
    <row r="300" spans="1:17" x14ac:dyDescent="0.25">
      <c r="A300" s="8">
        <v>21</v>
      </c>
      <c r="B300" s="8" t="s">
        <v>1278</v>
      </c>
      <c r="C300" s="9" t="s">
        <v>1279</v>
      </c>
      <c r="D300" s="9" t="s">
        <v>695</v>
      </c>
      <c r="E300" s="10">
        <v>39569</v>
      </c>
      <c r="F300" s="10">
        <v>39629</v>
      </c>
      <c r="G300" s="11">
        <f t="shared" si="4"/>
        <v>61</v>
      </c>
      <c r="H300" s="9"/>
      <c r="I300" s="12"/>
      <c r="J300" s="9" t="s">
        <v>1114</v>
      </c>
      <c r="K300" s="9" t="s">
        <v>1280</v>
      </c>
      <c r="L300" s="13">
        <v>81000</v>
      </c>
      <c r="M300" s="8"/>
      <c r="N300" s="8"/>
      <c r="O300" s="9"/>
      <c r="P300" s="9"/>
      <c r="Q300" s="6"/>
    </row>
    <row r="301" spans="1:17" x14ac:dyDescent="0.25">
      <c r="A301" s="8">
        <v>20</v>
      </c>
      <c r="B301" s="8" t="s">
        <v>1281</v>
      </c>
      <c r="C301" s="9" t="s">
        <v>1282</v>
      </c>
      <c r="D301" s="9" t="s">
        <v>1283</v>
      </c>
      <c r="E301" s="10">
        <v>39539</v>
      </c>
      <c r="F301" s="10">
        <v>39599</v>
      </c>
      <c r="G301" s="11">
        <f t="shared" si="4"/>
        <v>61</v>
      </c>
      <c r="H301" s="9"/>
      <c r="I301" s="12"/>
      <c r="J301" s="9" t="s">
        <v>1283</v>
      </c>
      <c r="K301" s="9" t="s">
        <v>1284</v>
      </c>
      <c r="L301" s="13">
        <v>104000</v>
      </c>
      <c r="M301" s="8">
        <v>50</v>
      </c>
      <c r="N301" s="8">
        <v>60</v>
      </c>
      <c r="O301" s="9"/>
      <c r="P301" s="9"/>
      <c r="Q301" s="6"/>
    </row>
    <row r="302" spans="1:17" x14ac:dyDescent="0.25">
      <c r="A302" s="8">
        <v>19</v>
      </c>
      <c r="B302" s="8" t="s">
        <v>1285</v>
      </c>
      <c r="C302" s="9" t="s">
        <v>1286</v>
      </c>
      <c r="D302" s="9" t="s">
        <v>316</v>
      </c>
      <c r="E302" s="10">
        <v>39448</v>
      </c>
      <c r="F302" s="10">
        <v>39813</v>
      </c>
      <c r="G302" s="11">
        <f t="shared" si="4"/>
        <v>366</v>
      </c>
      <c r="H302" s="9"/>
      <c r="I302" s="12"/>
      <c r="J302" s="9" t="s">
        <v>50</v>
      </c>
      <c r="K302" s="9" t="s">
        <v>851</v>
      </c>
      <c r="L302" s="13">
        <v>338000</v>
      </c>
      <c r="M302" s="8">
        <v>50</v>
      </c>
      <c r="N302" s="8">
        <v>60</v>
      </c>
      <c r="O302" s="9"/>
      <c r="P302" s="9" t="s">
        <v>353</v>
      </c>
      <c r="Q302" s="6"/>
    </row>
    <row r="303" spans="1:17" ht="25.5" x14ac:dyDescent="0.25">
      <c r="A303" s="8">
        <v>18</v>
      </c>
      <c r="B303" s="8" t="s">
        <v>155</v>
      </c>
      <c r="C303" s="9" t="s">
        <v>1287</v>
      </c>
      <c r="D303" s="9" t="s">
        <v>316</v>
      </c>
      <c r="E303" s="10">
        <v>39479</v>
      </c>
      <c r="F303" s="10">
        <v>39691</v>
      </c>
      <c r="G303" s="11">
        <f t="shared" si="4"/>
        <v>213</v>
      </c>
      <c r="H303" s="9"/>
      <c r="I303" s="12"/>
      <c r="J303" s="9" t="s">
        <v>50</v>
      </c>
      <c r="K303" s="9" t="s">
        <v>161</v>
      </c>
      <c r="L303" s="13">
        <v>320000</v>
      </c>
      <c r="M303" s="8">
        <v>50</v>
      </c>
      <c r="N303" s="8">
        <v>50</v>
      </c>
      <c r="O303" s="9"/>
      <c r="P303" s="9"/>
      <c r="Q303" s="6"/>
    </row>
    <row r="304" spans="1:17" ht="25.5" x14ac:dyDescent="0.25">
      <c r="A304" s="8">
        <v>17</v>
      </c>
      <c r="B304" s="8" t="s">
        <v>1134</v>
      </c>
      <c r="C304" s="9" t="s">
        <v>1288</v>
      </c>
      <c r="D304" s="9" t="s">
        <v>1289</v>
      </c>
      <c r="E304" s="10">
        <v>39526</v>
      </c>
      <c r="F304" s="10">
        <v>39813</v>
      </c>
      <c r="G304" s="11">
        <f t="shared" si="4"/>
        <v>288</v>
      </c>
      <c r="H304" s="9"/>
      <c r="I304" s="12"/>
      <c r="J304" s="9" t="s">
        <v>1290</v>
      </c>
      <c r="K304" s="9" t="s">
        <v>92</v>
      </c>
      <c r="L304" s="13">
        <v>3215000</v>
      </c>
      <c r="M304" s="8">
        <v>50</v>
      </c>
      <c r="N304" s="8">
        <v>50</v>
      </c>
      <c r="O304" s="9"/>
      <c r="P304" s="9"/>
      <c r="Q304" s="6"/>
    </row>
    <row r="305" spans="1:17" ht="25.5" x14ac:dyDescent="0.25">
      <c r="A305" s="8">
        <v>16</v>
      </c>
      <c r="B305" s="8" t="s">
        <v>1134</v>
      </c>
      <c r="C305" s="9" t="s">
        <v>1291</v>
      </c>
      <c r="D305" s="9" t="s">
        <v>316</v>
      </c>
      <c r="E305" s="10">
        <v>39356</v>
      </c>
      <c r="F305" s="10">
        <v>39478</v>
      </c>
      <c r="G305" s="11">
        <f t="shared" si="4"/>
        <v>123</v>
      </c>
      <c r="H305" s="9"/>
      <c r="I305" s="12"/>
      <c r="J305" s="9" t="s">
        <v>50</v>
      </c>
      <c r="K305" s="9" t="s">
        <v>92</v>
      </c>
      <c r="L305" s="13">
        <v>414000</v>
      </c>
      <c r="M305" s="8">
        <v>50</v>
      </c>
      <c r="N305" s="8">
        <v>50</v>
      </c>
      <c r="O305" s="9"/>
      <c r="P305" s="9" t="s">
        <v>1292</v>
      </c>
      <c r="Q305" s="6"/>
    </row>
    <row r="306" spans="1:17" x14ac:dyDescent="0.25">
      <c r="A306" s="8">
        <v>15</v>
      </c>
      <c r="B306" s="8" t="s">
        <v>122</v>
      </c>
      <c r="C306" s="9" t="s">
        <v>1293</v>
      </c>
      <c r="D306" s="9" t="s">
        <v>1294</v>
      </c>
      <c r="E306" s="10">
        <v>39356</v>
      </c>
      <c r="F306" s="10">
        <v>39386</v>
      </c>
      <c r="G306" s="11">
        <f t="shared" si="4"/>
        <v>31</v>
      </c>
      <c r="H306" s="9"/>
      <c r="I306" s="12"/>
      <c r="J306" s="9" t="s">
        <v>1295</v>
      </c>
      <c r="K306" s="9" t="s">
        <v>253</v>
      </c>
      <c r="L306" s="13">
        <v>33000</v>
      </c>
      <c r="M306" s="8">
        <v>110</v>
      </c>
      <c r="N306" s="8">
        <v>110</v>
      </c>
      <c r="O306" s="9"/>
      <c r="P306" s="9"/>
      <c r="Q306" s="6"/>
    </row>
    <row r="307" spans="1:17" x14ac:dyDescent="0.25">
      <c r="A307" s="8">
        <v>14</v>
      </c>
      <c r="B307" s="8" t="s">
        <v>155</v>
      </c>
      <c r="C307" s="9" t="s">
        <v>1296</v>
      </c>
      <c r="D307" s="9" t="s">
        <v>316</v>
      </c>
      <c r="E307" s="10">
        <v>39173</v>
      </c>
      <c r="F307" s="10">
        <v>39478</v>
      </c>
      <c r="G307" s="11">
        <f t="shared" si="4"/>
        <v>306</v>
      </c>
      <c r="H307" s="9"/>
      <c r="I307" s="12"/>
      <c r="J307" s="9" t="s">
        <v>50</v>
      </c>
      <c r="K307" s="9" t="s">
        <v>161</v>
      </c>
      <c r="L307" s="13">
        <v>300000</v>
      </c>
      <c r="M307" s="8">
        <v>50</v>
      </c>
      <c r="N307" s="8">
        <v>60</v>
      </c>
      <c r="O307" s="9"/>
      <c r="P307" s="9"/>
      <c r="Q307" s="6"/>
    </row>
    <row r="308" spans="1:17" x14ac:dyDescent="0.25">
      <c r="A308" s="8">
        <v>13</v>
      </c>
      <c r="B308" s="8" t="s">
        <v>660</v>
      </c>
      <c r="C308" s="9" t="s">
        <v>1297</v>
      </c>
      <c r="D308" s="9" t="s">
        <v>316</v>
      </c>
      <c r="E308" s="10">
        <v>39173</v>
      </c>
      <c r="F308" s="10">
        <v>39386</v>
      </c>
      <c r="G308" s="11">
        <f t="shared" si="4"/>
        <v>214</v>
      </c>
      <c r="H308" s="9"/>
      <c r="I308" s="12"/>
      <c r="J308" s="9" t="s">
        <v>50</v>
      </c>
      <c r="K308" s="9" t="s">
        <v>873</v>
      </c>
      <c r="L308" s="13">
        <v>597000</v>
      </c>
      <c r="M308" s="8">
        <v>50</v>
      </c>
      <c r="N308" s="8">
        <v>60</v>
      </c>
      <c r="O308" s="9"/>
      <c r="P308" s="9" t="s">
        <v>353</v>
      </c>
      <c r="Q308" s="6"/>
    </row>
    <row r="309" spans="1:17" x14ac:dyDescent="0.25">
      <c r="A309" s="8">
        <v>12</v>
      </c>
      <c r="B309" s="8" t="s">
        <v>762</v>
      </c>
      <c r="C309" s="9" t="s">
        <v>1298</v>
      </c>
      <c r="D309" s="9" t="s">
        <v>316</v>
      </c>
      <c r="E309" s="10">
        <v>39356</v>
      </c>
      <c r="F309" s="10">
        <v>39416</v>
      </c>
      <c r="G309" s="11">
        <f t="shared" si="4"/>
        <v>61</v>
      </c>
      <c r="H309" s="9"/>
      <c r="I309" s="12"/>
      <c r="J309" s="9" t="s">
        <v>50</v>
      </c>
      <c r="K309" s="9" t="s">
        <v>851</v>
      </c>
      <c r="L309" s="13">
        <v>268000</v>
      </c>
      <c r="M309" s="8">
        <v>50</v>
      </c>
      <c r="N309" s="8">
        <v>60</v>
      </c>
      <c r="O309" s="9"/>
      <c r="P309" s="9"/>
      <c r="Q309" s="6"/>
    </row>
    <row r="310" spans="1:17" x14ac:dyDescent="0.25">
      <c r="A310" s="8">
        <v>11</v>
      </c>
      <c r="B310" s="8" t="s">
        <v>1144</v>
      </c>
      <c r="C310" s="9" t="s">
        <v>1299</v>
      </c>
      <c r="D310" s="9" t="s">
        <v>961</v>
      </c>
      <c r="E310" s="10">
        <v>39326</v>
      </c>
      <c r="F310" s="10">
        <v>39355</v>
      </c>
      <c r="G310" s="11">
        <f t="shared" si="4"/>
        <v>30</v>
      </c>
      <c r="H310" s="9"/>
      <c r="I310" s="12"/>
      <c r="J310" s="9" t="s">
        <v>961</v>
      </c>
      <c r="K310" s="9" t="s">
        <v>705</v>
      </c>
      <c r="L310" s="13">
        <v>787000</v>
      </c>
      <c r="M310" s="8">
        <v>110</v>
      </c>
      <c r="N310" s="8">
        <v>110</v>
      </c>
      <c r="O310" s="9"/>
      <c r="P310" s="9"/>
      <c r="Q310" s="6"/>
    </row>
    <row r="311" spans="1:17" x14ac:dyDescent="0.25">
      <c r="A311" s="8">
        <v>10</v>
      </c>
      <c r="B311" s="8" t="s">
        <v>613</v>
      </c>
      <c r="C311" s="9" t="s">
        <v>1300</v>
      </c>
      <c r="D311" s="9" t="s">
        <v>316</v>
      </c>
      <c r="E311" s="10">
        <v>39052</v>
      </c>
      <c r="F311" s="10">
        <v>39113</v>
      </c>
      <c r="G311" s="11">
        <f t="shared" si="4"/>
        <v>62</v>
      </c>
      <c r="H311" s="9"/>
      <c r="I311" s="12"/>
      <c r="J311" s="9" t="s">
        <v>50</v>
      </c>
      <c r="K311" s="9" t="s">
        <v>135</v>
      </c>
      <c r="L311" s="13">
        <v>276000</v>
      </c>
      <c r="M311" s="8">
        <v>120</v>
      </c>
      <c r="N311" s="8">
        <v>120</v>
      </c>
      <c r="O311" s="9"/>
      <c r="P311" s="9"/>
      <c r="Q311" s="6"/>
    </row>
    <row r="312" spans="1:17" x14ac:dyDescent="0.25">
      <c r="A312" s="8">
        <v>9</v>
      </c>
      <c r="B312" s="8" t="s">
        <v>1134</v>
      </c>
      <c r="C312" s="9" t="s">
        <v>1301</v>
      </c>
      <c r="D312" s="9" t="s">
        <v>695</v>
      </c>
      <c r="E312" s="10">
        <v>38961</v>
      </c>
      <c r="F312" s="10">
        <v>39021</v>
      </c>
      <c r="G312" s="11">
        <f t="shared" si="4"/>
        <v>61</v>
      </c>
      <c r="H312" s="9"/>
      <c r="I312" s="12"/>
      <c r="J312" s="9" t="s">
        <v>1114</v>
      </c>
      <c r="K312" s="9" t="s">
        <v>92</v>
      </c>
      <c r="L312" s="13">
        <v>50000</v>
      </c>
      <c r="M312" s="8">
        <v>50</v>
      </c>
      <c r="N312" s="8">
        <v>60</v>
      </c>
      <c r="O312" s="9"/>
      <c r="P312" s="9"/>
      <c r="Q312" s="6"/>
    </row>
    <row r="313" spans="1:17" ht="25.5" x14ac:dyDescent="0.25">
      <c r="A313" s="8">
        <v>8</v>
      </c>
      <c r="B313" s="8" t="s">
        <v>1134</v>
      </c>
      <c r="C313" s="9" t="s">
        <v>1302</v>
      </c>
      <c r="D313" s="9" t="s">
        <v>755</v>
      </c>
      <c r="E313" s="10">
        <v>38930</v>
      </c>
      <c r="F313" s="10">
        <v>38990</v>
      </c>
      <c r="G313" s="11">
        <f t="shared" si="4"/>
        <v>61</v>
      </c>
      <c r="H313" s="9"/>
      <c r="I313" s="12"/>
      <c r="J313" s="9" t="s">
        <v>1303</v>
      </c>
      <c r="K313" s="9" t="s">
        <v>92</v>
      </c>
      <c r="L313" s="13">
        <v>200000</v>
      </c>
      <c r="M313" s="8">
        <v>50</v>
      </c>
      <c r="N313" s="8">
        <v>60</v>
      </c>
      <c r="O313" s="9"/>
      <c r="P313" s="9"/>
      <c r="Q313" s="6"/>
    </row>
    <row r="314" spans="1:17" x14ac:dyDescent="0.25">
      <c r="A314" s="8">
        <v>7</v>
      </c>
      <c r="B314" s="8" t="s">
        <v>1218</v>
      </c>
      <c r="C314" s="9" t="s">
        <v>1304</v>
      </c>
      <c r="D314" s="9" t="s">
        <v>601</v>
      </c>
      <c r="E314" s="10"/>
      <c r="F314" s="10"/>
      <c r="G314" s="11" t="str">
        <f t="shared" si="4"/>
        <v/>
      </c>
      <c r="H314" s="9"/>
      <c r="I314" s="12"/>
      <c r="J314" s="9" t="s">
        <v>1305</v>
      </c>
      <c r="K314" s="9" t="s">
        <v>1275</v>
      </c>
      <c r="L314" s="13">
        <v>200000</v>
      </c>
      <c r="M314" s="8">
        <v>50</v>
      </c>
      <c r="N314" s="8">
        <v>60</v>
      </c>
      <c r="O314" s="9"/>
      <c r="P314" s="9"/>
      <c r="Q314" s="6"/>
    </row>
    <row r="315" spans="1:17" ht="25.5" x14ac:dyDescent="0.25">
      <c r="A315" s="8">
        <v>6</v>
      </c>
      <c r="B315" s="8" t="s">
        <v>155</v>
      </c>
      <c r="C315" s="9" t="s">
        <v>1307</v>
      </c>
      <c r="D315" s="9" t="s">
        <v>316</v>
      </c>
      <c r="E315" s="10">
        <v>38718</v>
      </c>
      <c r="F315" s="10">
        <v>38868</v>
      </c>
      <c r="G315" s="11">
        <f t="shared" si="4"/>
        <v>151</v>
      </c>
      <c r="H315" s="9"/>
      <c r="I315" s="12"/>
      <c r="J315" s="9" t="s">
        <v>316</v>
      </c>
      <c r="K315" s="9" t="s">
        <v>161</v>
      </c>
      <c r="L315" s="13">
        <v>250000</v>
      </c>
      <c r="M315" s="8">
        <v>50</v>
      </c>
      <c r="N315" s="8">
        <v>60</v>
      </c>
      <c r="O315" s="9"/>
      <c r="P315" s="9"/>
      <c r="Q315" s="6"/>
    </row>
    <row r="316" spans="1:17" ht="25.5" x14ac:dyDescent="0.25">
      <c r="A316" s="8">
        <v>5</v>
      </c>
      <c r="B316" s="8" t="s">
        <v>1144</v>
      </c>
      <c r="C316" s="9" t="s">
        <v>1308</v>
      </c>
      <c r="D316" s="9" t="s">
        <v>1309</v>
      </c>
      <c r="E316" s="10">
        <v>38353</v>
      </c>
      <c r="F316" s="10">
        <v>38717</v>
      </c>
      <c r="G316" s="11">
        <f t="shared" si="4"/>
        <v>365</v>
      </c>
      <c r="H316" s="9"/>
      <c r="I316" s="12"/>
      <c r="J316" s="9" t="s">
        <v>1309</v>
      </c>
      <c r="K316" s="9" t="s">
        <v>705</v>
      </c>
      <c r="L316" s="13">
        <v>600000</v>
      </c>
      <c r="M316" s="8">
        <v>110</v>
      </c>
      <c r="N316" s="8">
        <v>110</v>
      </c>
      <c r="O316" s="9"/>
      <c r="P316" s="9"/>
      <c r="Q316" s="6"/>
    </row>
    <row r="317" spans="1:17" ht="25.5" x14ac:dyDescent="0.25">
      <c r="A317" s="8">
        <v>4</v>
      </c>
      <c r="B317" s="8" t="s">
        <v>155</v>
      </c>
      <c r="C317" s="9" t="s">
        <v>1310</v>
      </c>
      <c r="D317" s="9" t="s">
        <v>316</v>
      </c>
      <c r="E317" s="10">
        <v>38353</v>
      </c>
      <c r="F317" s="10">
        <v>38717</v>
      </c>
      <c r="G317" s="11">
        <f t="shared" si="4"/>
        <v>365</v>
      </c>
      <c r="H317" s="9"/>
      <c r="I317" s="12"/>
      <c r="J317" s="9" t="s">
        <v>316</v>
      </c>
      <c r="K317" s="9" t="s">
        <v>161</v>
      </c>
      <c r="L317" s="13">
        <v>200000</v>
      </c>
      <c r="M317" s="8">
        <v>50</v>
      </c>
      <c r="N317" s="8">
        <v>60</v>
      </c>
      <c r="O317" s="9"/>
      <c r="P317" s="9"/>
      <c r="Q317" s="6"/>
    </row>
    <row r="318" spans="1:17" x14ac:dyDescent="0.25">
      <c r="A318" s="8">
        <v>3</v>
      </c>
      <c r="B318" s="8" t="s">
        <v>1311</v>
      </c>
      <c r="C318" s="9" t="s">
        <v>1312</v>
      </c>
      <c r="D318" s="9" t="s">
        <v>601</v>
      </c>
      <c r="E318" s="10">
        <v>38626</v>
      </c>
      <c r="F318" s="10">
        <v>38686</v>
      </c>
      <c r="G318" s="11">
        <f t="shared" si="4"/>
        <v>61</v>
      </c>
      <c r="H318" s="9"/>
      <c r="I318" s="12"/>
      <c r="J318" s="9" t="s">
        <v>601</v>
      </c>
      <c r="K318" s="9" t="s">
        <v>253</v>
      </c>
      <c r="L318" s="13">
        <v>50000</v>
      </c>
      <c r="M318" s="8">
        <v>50</v>
      </c>
      <c r="N318" s="8">
        <v>60</v>
      </c>
      <c r="O318" s="9"/>
      <c r="P318" s="9"/>
      <c r="Q318" s="6"/>
    </row>
    <row r="319" spans="1:17" ht="25.5" x14ac:dyDescent="0.25">
      <c r="A319" s="8">
        <v>2</v>
      </c>
      <c r="B319" s="8" t="s">
        <v>1134</v>
      </c>
      <c r="C319" s="9" t="s">
        <v>1313</v>
      </c>
      <c r="D319" s="9" t="s">
        <v>1314</v>
      </c>
      <c r="E319" s="10">
        <v>38412</v>
      </c>
      <c r="F319" s="10">
        <v>38533</v>
      </c>
      <c r="G319" s="11">
        <f t="shared" si="4"/>
        <v>122</v>
      </c>
      <c r="H319" s="9"/>
      <c r="I319" s="12"/>
      <c r="J319" s="9" t="s">
        <v>1314</v>
      </c>
      <c r="K319" s="9" t="s">
        <v>92</v>
      </c>
      <c r="L319" s="13">
        <v>100000</v>
      </c>
      <c r="M319" s="8">
        <v>50</v>
      </c>
      <c r="N319" s="8">
        <v>60</v>
      </c>
      <c r="O319" s="9"/>
      <c r="P319" s="9"/>
      <c r="Q319" s="6"/>
    </row>
    <row r="320" spans="1:17" ht="25.5" x14ac:dyDescent="0.25">
      <c r="A320" s="8">
        <v>1</v>
      </c>
      <c r="B320" s="8" t="s">
        <v>1315</v>
      </c>
      <c r="C320" s="9" t="s">
        <v>1316</v>
      </c>
      <c r="D320" s="9" t="s">
        <v>1317</v>
      </c>
      <c r="E320" s="10">
        <v>38473</v>
      </c>
      <c r="F320" s="10">
        <v>38503</v>
      </c>
      <c r="G320" s="11">
        <f t="shared" si="4"/>
        <v>31</v>
      </c>
      <c r="H320" s="9"/>
      <c r="I320" s="12"/>
      <c r="J320" s="9" t="s">
        <v>1317</v>
      </c>
      <c r="K320" s="9" t="s">
        <v>1275</v>
      </c>
      <c r="L320" s="13">
        <v>100000</v>
      </c>
      <c r="M320" s="8">
        <v>50</v>
      </c>
      <c r="N320" s="8">
        <v>60</v>
      </c>
      <c r="O320" s="9"/>
      <c r="P320" s="9"/>
      <c r="Q320" s="6"/>
    </row>
  </sheetData>
  <autoFilter ref="A1:P32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7" customWidth="1"/>
    <col min="3" max="3" width="14" customWidth="1"/>
    <col min="4" max="4" width="30" customWidth="1"/>
    <col min="5" max="5" width="14" customWidth="1"/>
    <col min="6" max="6" width="32" customWidth="1"/>
    <col min="7" max="7" width="34" customWidth="1"/>
    <col min="8" max="8" width="60" customWidth="1"/>
    <col min="9" max="9" width="22" customWidth="1"/>
  </cols>
  <sheetData>
    <row r="1" spans="1:9" ht="38.25" x14ac:dyDescent="0.25">
      <c r="A1" s="2" t="s">
        <v>1318</v>
      </c>
      <c r="B1" s="2" t="s">
        <v>0</v>
      </c>
      <c r="C1" s="2" t="s">
        <v>1</v>
      </c>
      <c r="D1" s="2" t="s">
        <v>2</v>
      </c>
      <c r="E1" s="2" t="s">
        <v>1319</v>
      </c>
      <c r="F1" s="2" t="s">
        <v>1320</v>
      </c>
      <c r="G1" s="2" t="s">
        <v>1321</v>
      </c>
      <c r="H1" s="2" t="s">
        <v>1322</v>
      </c>
      <c r="I1" s="2" t="s">
        <v>1323</v>
      </c>
    </row>
    <row r="2" spans="1:9" ht="25.5" x14ac:dyDescent="0.25">
      <c r="A2" s="1">
        <v>6</v>
      </c>
      <c r="B2" s="1">
        <v>319</v>
      </c>
      <c r="C2" s="1" t="s">
        <v>16</v>
      </c>
      <c r="D2" s="1" t="s">
        <v>17</v>
      </c>
      <c r="E2" s="1" t="s">
        <v>1324</v>
      </c>
      <c r="F2" s="1" t="s">
        <v>1325</v>
      </c>
      <c r="G2" s="1" t="s">
        <v>1326</v>
      </c>
      <c r="H2" s="1" t="s">
        <v>1327</v>
      </c>
      <c r="I2" s="1" t="s">
        <v>1328</v>
      </c>
    </row>
    <row r="3" spans="1:9" ht="25.5" x14ac:dyDescent="0.25">
      <c r="A3" s="1">
        <v>7</v>
      </c>
      <c r="B3" s="1">
        <v>318</v>
      </c>
      <c r="C3" s="1" t="s">
        <v>25</v>
      </c>
      <c r="D3" s="1" t="s">
        <v>26</v>
      </c>
      <c r="E3" s="1" t="s">
        <v>1324</v>
      </c>
      <c r="F3" s="1" t="s">
        <v>1329</v>
      </c>
      <c r="G3" s="1" t="s">
        <v>1330</v>
      </c>
      <c r="H3" s="1" t="s">
        <v>1331</v>
      </c>
      <c r="I3" s="1" t="s">
        <v>1328</v>
      </c>
    </row>
    <row r="4" spans="1:9" ht="25.5" x14ac:dyDescent="0.25">
      <c r="A4" s="1">
        <v>19</v>
      </c>
      <c r="B4" s="1">
        <v>306</v>
      </c>
      <c r="C4" s="1" t="s">
        <v>100</v>
      </c>
      <c r="D4" s="1" t="s">
        <v>101</v>
      </c>
      <c r="E4" s="1" t="s">
        <v>1324</v>
      </c>
      <c r="F4" s="1" t="s">
        <v>1332</v>
      </c>
      <c r="G4" s="1" t="s">
        <v>1333</v>
      </c>
      <c r="H4" s="1" t="s">
        <v>1334</v>
      </c>
      <c r="I4" s="1" t="s">
        <v>1328</v>
      </c>
    </row>
    <row r="5" spans="1:9" ht="25.5" x14ac:dyDescent="0.25">
      <c r="A5" s="1">
        <v>20</v>
      </c>
      <c r="B5" s="1">
        <v>305</v>
      </c>
      <c r="C5" s="1" t="s">
        <v>100</v>
      </c>
      <c r="D5" s="1" t="s">
        <v>101</v>
      </c>
      <c r="E5" s="1" t="s">
        <v>1324</v>
      </c>
      <c r="F5" s="1" t="s">
        <v>1332</v>
      </c>
      <c r="G5" s="1" t="s">
        <v>1333</v>
      </c>
      <c r="H5" s="1" t="s">
        <v>1334</v>
      </c>
      <c r="I5" s="1" t="s">
        <v>1328</v>
      </c>
    </row>
    <row r="6" spans="1:9" ht="25.5" x14ac:dyDescent="0.25">
      <c r="A6" s="1">
        <v>27</v>
      </c>
      <c r="B6" s="1">
        <v>298</v>
      </c>
      <c r="C6" s="1" t="s">
        <v>144</v>
      </c>
      <c r="D6" s="1" t="s">
        <v>145</v>
      </c>
      <c r="E6" s="1" t="s">
        <v>1335</v>
      </c>
      <c r="F6" s="1">
        <f>(15817671187+4773931013)/25350</f>
        <v>812292</v>
      </c>
      <c r="G6" s="1">
        <v>812292</v>
      </c>
      <c r="H6" s="1" t="s">
        <v>1336</v>
      </c>
      <c r="I6" s="1" t="s">
        <v>1337</v>
      </c>
    </row>
    <row r="7" spans="1:9" ht="25.5" x14ac:dyDescent="0.25">
      <c r="A7" s="1">
        <v>42</v>
      </c>
      <c r="B7" s="1">
        <v>283</v>
      </c>
      <c r="C7" s="1" t="s">
        <v>100</v>
      </c>
      <c r="D7" s="1" t="s">
        <v>210</v>
      </c>
      <c r="E7" s="1" t="s">
        <v>1324</v>
      </c>
      <c r="F7" s="1" t="s">
        <v>1338</v>
      </c>
      <c r="G7" s="1" t="s">
        <v>1339</v>
      </c>
      <c r="H7" s="1" t="s">
        <v>1340</v>
      </c>
      <c r="I7" s="1" t="s">
        <v>1337</v>
      </c>
    </row>
    <row r="8" spans="1:9" x14ac:dyDescent="0.25">
      <c r="A8" s="1">
        <v>67</v>
      </c>
      <c r="B8" s="1">
        <v>258</v>
      </c>
      <c r="C8" s="1" t="s">
        <v>79</v>
      </c>
      <c r="D8" s="1" t="s">
        <v>311</v>
      </c>
      <c r="E8" s="1" t="s">
        <v>1324</v>
      </c>
      <c r="F8" s="1" t="s">
        <v>1341</v>
      </c>
      <c r="G8" s="1" t="s">
        <v>1342</v>
      </c>
      <c r="H8" s="1" t="s">
        <v>314</v>
      </c>
      <c r="I8" s="1" t="s">
        <v>1343</v>
      </c>
    </row>
    <row r="9" spans="1:9" x14ac:dyDescent="0.25">
      <c r="A9" s="1">
        <v>73</v>
      </c>
      <c r="B9" s="1">
        <v>252</v>
      </c>
      <c r="C9" s="1" t="s">
        <v>73</v>
      </c>
      <c r="D9" s="1" t="s">
        <v>344</v>
      </c>
      <c r="E9" s="1" t="s">
        <v>1324</v>
      </c>
      <c r="F9" s="1" t="s">
        <v>1344</v>
      </c>
      <c r="G9" s="1" t="s">
        <v>1345</v>
      </c>
      <c r="H9" s="1" t="s">
        <v>349</v>
      </c>
      <c r="I9" s="1" t="s">
        <v>1343</v>
      </c>
    </row>
    <row r="10" spans="1:9" ht="25.5" x14ac:dyDescent="0.25">
      <c r="A10" s="1">
        <v>150</v>
      </c>
      <c r="B10" s="1">
        <v>175</v>
      </c>
      <c r="C10" s="1" t="s">
        <v>56</v>
      </c>
      <c r="D10" s="1" t="s">
        <v>688</v>
      </c>
      <c r="E10" s="1" t="s">
        <v>1324</v>
      </c>
      <c r="F10" s="1" t="s">
        <v>1346</v>
      </c>
      <c r="G10" s="1" t="s">
        <v>1347</v>
      </c>
      <c r="H10" s="1" t="s">
        <v>693</v>
      </c>
      <c r="I10" s="1" t="s">
        <v>1348</v>
      </c>
    </row>
    <row r="11" spans="1:9" ht="25.5" x14ac:dyDescent="0.25">
      <c r="A11" s="1">
        <v>153</v>
      </c>
      <c r="B11" s="1">
        <v>172</v>
      </c>
      <c r="C11" s="1" t="s">
        <v>25</v>
      </c>
      <c r="D11" s="1" t="s">
        <v>706</v>
      </c>
      <c r="E11" s="1" t="s">
        <v>1335</v>
      </c>
      <c r="F11" s="1">
        <f>130000000000/22270</f>
        <v>5837449.4836102379</v>
      </c>
      <c r="G11" s="1">
        <v>5837449.4800000004</v>
      </c>
      <c r="H11" s="1" t="s">
        <v>1336</v>
      </c>
      <c r="I11" s="1" t="s">
        <v>1337</v>
      </c>
    </row>
    <row r="12" spans="1:9" ht="25.5" x14ac:dyDescent="0.25">
      <c r="A12" s="1">
        <v>155</v>
      </c>
      <c r="B12" s="1">
        <v>170</v>
      </c>
      <c r="C12" s="1" t="s">
        <v>79</v>
      </c>
      <c r="D12" s="1" t="s">
        <v>712</v>
      </c>
      <c r="E12" s="1" t="s">
        <v>1335</v>
      </c>
      <c r="F12" s="1">
        <f>68924+49020+10488</f>
        <v>128432</v>
      </c>
      <c r="G12" s="1">
        <v>128432</v>
      </c>
      <c r="H12" s="1" t="s">
        <v>1336</v>
      </c>
      <c r="I12" s="1" t="s">
        <v>1337</v>
      </c>
    </row>
    <row r="13" spans="1:9" ht="25.5" x14ac:dyDescent="0.25">
      <c r="A13" s="1">
        <v>167</v>
      </c>
      <c r="B13" s="1">
        <v>158</v>
      </c>
      <c r="C13" s="1" t="s">
        <v>619</v>
      </c>
      <c r="D13" s="1" t="s">
        <v>754</v>
      </c>
      <c r="E13" s="1" t="s">
        <v>1324</v>
      </c>
      <c r="F13" s="1" t="s">
        <v>1349</v>
      </c>
      <c r="G13" s="1" t="s">
        <v>1350</v>
      </c>
      <c r="H13" s="1" t="s">
        <v>761</v>
      </c>
      <c r="I13" s="1" t="s">
        <v>1337</v>
      </c>
    </row>
    <row r="14" spans="1:9" x14ac:dyDescent="0.25">
      <c r="A14" s="1">
        <v>168</v>
      </c>
      <c r="B14" s="1">
        <v>157</v>
      </c>
      <c r="C14" s="1" t="s">
        <v>762</v>
      </c>
      <c r="D14" s="1" t="s">
        <v>763</v>
      </c>
      <c r="E14" s="1" t="s">
        <v>1324</v>
      </c>
      <c r="F14" s="1" t="s">
        <v>1351</v>
      </c>
      <c r="G14" s="1" t="s">
        <v>1352</v>
      </c>
      <c r="H14" s="1" t="s">
        <v>766</v>
      </c>
      <c r="I14" s="1" t="s">
        <v>1343</v>
      </c>
    </row>
    <row r="15" spans="1:9" ht="25.5" x14ac:dyDescent="0.25">
      <c r="A15" s="1">
        <v>197</v>
      </c>
      <c r="B15" s="1">
        <v>128</v>
      </c>
      <c r="C15" s="1" t="s">
        <v>819</v>
      </c>
      <c r="D15" s="1" t="s">
        <v>887</v>
      </c>
      <c r="E15" s="1" t="s">
        <v>1335</v>
      </c>
      <c r="F15" s="1" t="s">
        <v>1353</v>
      </c>
      <c r="G15" s="1">
        <v>227916</v>
      </c>
      <c r="H15" s="1" t="s">
        <v>1354</v>
      </c>
      <c r="I15" s="1" t="s">
        <v>1337</v>
      </c>
    </row>
    <row r="16" spans="1:9" ht="25.5" x14ac:dyDescent="0.25">
      <c r="A16" s="1">
        <v>206</v>
      </c>
      <c r="B16" s="1">
        <v>119</v>
      </c>
      <c r="C16" s="1" t="s">
        <v>173</v>
      </c>
      <c r="D16" s="1" t="s">
        <v>924</v>
      </c>
      <c r="E16" s="1" t="s">
        <v>1324</v>
      </c>
      <c r="F16" s="1" t="s">
        <v>1355</v>
      </c>
      <c r="G16" s="1" t="s">
        <v>1356</v>
      </c>
      <c r="H16" s="1" t="s">
        <v>1340</v>
      </c>
      <c r="I16" s="1" t="s">
        <v>1337</v>
      </c>
    </row>
    <row r="17" spans="1:9" ht="25.5" x14ac:dyDescent="0.25">
      <c r="A17" s="1">
        <v>239</v>
      </c>
      <c r="B17" s="1">
        <v>86</v>
      </c>
      <c r="C17" s="1" t="s">
        <v>136</v>
      </c>
      <c r="D17" s="1" t="s">
        <v>1059</v>
      </c>
      <c r="E17" s="1" t="s">
        <v>1324</v>
      </c>
      <c r="F17" s="1" t="s">
        <v>1357</v>
      </c>
      <c r="G17" s="1" t="s">
        <v>1358</v>
      </c>
      <c r="H17" s="1" t="s">
        <v>1340</v>
      </c>
      <c r="I17" s="1" t="s">
        <v>1337</v>
      </c>
    </row>
    <row r="18" spans="1:9" ht="25.5" x14ac:dyDescent="0.25">
      <c r="A18" s="1">
        <v>252</v>
      </c>
      <c r="B18" s="1">
        <v>73</v>
      </c>
      <c r="C18" s="1" t="s">
        <v>155</v>
      </c>
      <c r="D18" s="1" t="s">
        <v>1105</v>
      </c>
      <c r="E18" s="1" t="s">
        <v>1324</v>
      </c>
      <c r="F18" s="1" t="s">
        <v>1359</v>
      </c>
      <c r="G18" s="1" t="s">
        <v>1360</v>
      </c>
      <c r="H18" s="1" t="s">
        <v>1340</v>
      </c>
      <c r="I18" s="1" t="s">
        <v>1337</v>
      </c>
    </row>
    <row r="19" spans="1:9" ht="38.25" x14ac:dyDescent="0.25">
      <c r="A19" s="1">
        <v>272</v>
      </c>
      <c r="B19" s="1">
        <v>53</v>
      </c>
      <c r="C19" s="1" t="s">
        <v>1134</v>
      </c>
      <c r="D19" s="1" t="s">
        <v>1185</v>
      </c>
      <c r="E19" s="1" t="s">
        <v>1324</v>
      </c>
      <c r="F19" s="1" t="s">
        <v>1361</v>
      </c>
      <c r="G19" s="1" t="s">
        <v>1362</v>
      </c>
      <c r="H19" s="1" t="s">
        <v>1340</v>
      </c>
      <c r="I19" s="1" t="s">
        <v>1337</v>
      </c>
    </row>
    <row r="20" spans="1:9" ht="25.5" x14ac:dyDescent="0.25">
      <c r="A20" s="1">
        <v>273</v>
      </c>
      <c r="B20" s="1">
        <v>52</v>
      </c>
      <c r="C20" s="1" t="s">
        <v>155</v>
      </c>
      <c r="D20" s="1" t="s">
        <v>942</v>
      </c>
      <c r="E20" s="1" t="s">
        <v>1324</v>
      </c>
      <c r="F20" s="1" t="s">
        <v>1363</v>
      </c>
      <c r="G20" s="1" t="s">
        <v>1364</v>
      </c>
      <c r="H20" s="1" t="s">
        <v>1340</v>
      </c>
      <c r="I20" s="1" t="s">
        <v>1337</v>
      </c>
    </row>
    <row r="21" spans="1:9" ht="38.25" x14ac:dyDescent="0.25">
      <c r="A21" s="1">
        <v>276</v>
      </c>
      <c r="B21" s="1">
        <v>49</v>
      </c>
      <c r="C21" s="1" t="s">
        <v>1134</v>
      </c>
      <c r="D21" s="1"/>
      <c r="E21" s="1" t="s">
        <v>1324</v>
      </c>
      <c r="F21" s="1" t="s">
        <v>1365</v>
      </c>
      <c r="G21" s="1" t="s">
        <v>1366</v>
      </c>
      <c r="H21" s="1" t="s">
        <v>1340</v>
      </c>
      <c r="I21" s="1" t="s">
        <v>1337</v>
      </c>
    </row>
    <row r="22" spans="1:9" ht="25.5" x14ac:dyDescent="0.25">
      <c r="A22" s="1">
        <v>283</v>
      </c>
      <c r="B22" s="1">
        <v>42</v>
      </c>
      <c r="C22" s="1" t="s">
        <v>1225</v>
      </c>
      <c r="D22" s="1" t="s">
        <v>1226</v>
      </c>
      <c r="E22" s="1" t="s">
        <v>1324</v>
      </c>
      <c r="F22" s="1" t="s">
        <v>1367</v>
      </c>
      <c r="G22" s="1" t="s">
        <v>1368</v>
      </c>
      <c r="H22" s="1" t="s">
        <v>1340</v>
      </c>
      <c r="I22" s="1" t="s">
        <v>1337</v>
      </c>
    </row>
    <row r="23" spans="1:9" ht="38.25" x14ac:dyDescent="0.25">
      <c r="A23" s="1">
        <v>300</v>
      </c>
      <c r="B23" s="1">
        <v>25</v>
      </c>
      <c r="C23" s="1" t="s">
        <v>1134</v>
      </c>
      <c r="D23" s="1" t="s">
        <v>1268</v>
      </c>
      <c r="E23" s="1" t="s">
        <v>1324</v>
      </c>
      <c r="F23" s="1" t="s">
        <v>1365</v>
      </c>
      <c r="G23" s="1" t="s">
        <v>1366</v>
      </c>
      <c r="H23" s="1" t="s">
        <v>1340</v>
      </c>
      <c r="I23" s="1" t="s">
        <v>1337</v>
      </c>
    </row>
    <row r="24" spans="1:9" ht="25.5" x14ac:dyDescent="0.25">
      <c r="A24" s="1">
        <v>306</v>
      </c>
      <c r="B24" s="1">
        <v>19</v>
      </c>
      <c r="C24" s="1" t="s">
        <v>1285</v>
      </c>
      <c r="D24" s="1" t="s">
        <v>1286</v>
      </c>
      <c r="E24" s="1" t="s">
        <v>1324</v>
      </c>
      <c r="F24" s="1" t="s">
        <v>1369</v>
      </c>
      <c r="G24" s="1" t="s">
        <v>1370</v>
      </c>
      <c r="H24" s="1" t="s">
        <v>1340</v>
      </c>
      <c r="I24" s="1" t="s">
        <v>1337</v>
      </c>
    </row>
    <row r="25" spans="1:9" x14ac:dyDescent="0.25">
      <c r="A25" s="1">
        <v>318</v>
      </c>
      <c r="B25" s="1">
        <v>7</v>
      </c>
      <c r="C25" s="1" t="s">
        <v>1218</v>
      </c>
      <c r="D25" s="1" t="s">
        <v>1304</v>
      </c>
      <c r="E25" s="1" t="s">
        <v>1324</v>
      </c>
      <c r="F25" s="1"/>
      <c r="G25" s="1" t="s">
        <v>1371</v>
      </c>
      <c r="H25" s="1" t="s">
        <v>1306</v>
      </c>
      <c r="I25" s="1" t="s">
        <v>1372</v>
      </c>
    </row>
  </sheetData>
  <autoFilter ref="A1:I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120" customWidth="1"/>
  </cols>
  <sheetData>
    <row r="1" spans="1:2" ht="15.75" x14ac:dyDescent="0.25">
      <c r="A1" s="3" t="s">
        <v>1373</v>
      </c>
      <c r="B1" s="4"/>
    </row>
    <row r="2" spans="1:2" ht="25.5" x14ac:dyDescent="0.25">
      <c r="A2" s="5" t="s">
        <v>1374</v>
      </c>
      <c r="B2" s="4" t="s">
        <v>1375</v>
      </c>
    </row>
    <row r="3" spans="1:2" ht="25.5" x14ac:dyDescent="0.25">
      <c r="A3" s="5" t="s">
        <v>1376</v>
      </c>
      <c r="B3" s="4" t="s">
        <v>1377</v>
      </c>
    </row>
    <row r="4" spans="1:2" ht="25.5" x14ac:dyDescent="0.25">
      <c r="A4" s="5" t="s">
        <v>1378</v>
      </c>
      <c r="B4" s="4" t="s">
        <v>1379</v>
      </c>
    </row>
    <row r="5" spans="1:2" x14ac:dyDescent="0.25">
      <c r="A5" s="5" t="s">
        <v>1380</v>
      </c>
      <c r="B5" s="4" t="s">
        <v>1381</v>
      </c>
    </row>
    <row r="6" spans="1:2" x14ac:dyDescent="0.25">
      <c r="A6" s="5" t="s">
        <v>19</v>
      </c>
      <c r="B6" s="4" t="s">
        <v>1382</v>
      </c>
    </row>
    <row r="7" spans="1:2" x14ac:dyDescent="0.25">
      <c r="A7" s="5" t="s">
        <v>1383</v>
      </c>
      <c r="B7" s="4" t="s">
        <v>1384</v>
      </c>
    </row>
    <row r="8" spans="1:2" x14ac:dyDescent="0.25">
      <c r="A8" s="5" t="s">
        <v>1385</v>
      </c>
      <c r="B8" s="4" t="s">
        <v>1386</v>
      </c>
    </row>
    <row r="9" spans="1:2" ht="25.5" x14ac:dyDescent="0.25">
      <c r="A9" s="5" t="s">
        <v>1387</v>
      </c>
      <c r="B9" s="4" t="s">
        <v>1388</v>
      </c>
    </row>
    <row r="10" spans="1:2" ht="25.5" x14ac:dyDescent="0.25">
      <c r="A10" s="5" t="s">
        <v>1389</v>
      </c>
      <c r="B10" s="4" t="s">
        <v>1390</v>
      </c>
    </row>
    <row r="11" spans="1:2" ht="25.5" x14ac:dyDescent="0.25">
      <c r="A11" s="5" t="s">
        <v>1335</v>
      </c>
      <c r="B11" s="4" t="s">
        <v>1391</v>
      </c>
    </row>
    <row r="12" spans="1:2" x14ac:dyDescent="0.25">
      <c r="A12" s="5" t="s">
        <v>1392</v>
      </c>
      <c r="B12" s="4" t="s">
        <v>1393</v>
      </c>
    </row>
    <row r="13" spans="1:2" ht="25.5" x14ac:dyDescent="0.25">
      <c r="A13" s="5" t="s">
        <v>1394</v>
      </c>
      <c r="B13" s="4" t="s">
        <v>1395</v>
      </c>
    </row>
    <row r="14" spans="1:2" ht="25.5" x14ac:dyDescent="0.25">
      <c r="A14" s="5" t="s">
        <v>1396</v>
      </c>
      <c r="B14" s="4" t="s">
        <v>1397</v>
      </c>
    </row>
    <row r="15" spans="1:2" x14ac:dyDescent="0.25">
      <c r="A15" s="5" t="s">
        <v>1398</v>
      </c>
      <c r="B15" s="4" t="s">
        <v>1399</v>
      </c>
    </row>
    <row r="16" spans="1:2" ht="25.5" x14ac:dyDescent="0.25">
      <c r="A16" s="5" t="s">
        <v>1400</v>
      </c>
      <c r="B16" s="4" t="s">
        <v>1401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</vt:lpstr>
      <vt:lpstr>Needs Review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Dang Van Huynh</cp:lastModifiedBy>
  <cp:revision>0</cp:revision>
  <dcterms:created xsi:type="dcterms:W3CDTF">2026-10-12T14:09:45Z</dcterms:created>
  <dcterms:modified xsi:type="dcterms:W3CDTF">2026-10-12T14:39:16Z</dcterms:modified>
  <dc:language>en-US</dc:language>
</cp:coreProperties>
</file>